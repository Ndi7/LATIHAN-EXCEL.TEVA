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BDFEF9-671B-4F02-943B-FB2192955E09}" xr6:coauthVersionLast="47" xr6:coauthVersionMax="47" xr10:uidLastSave="{00000000-0000-0000-0000-000000000000}"/>
  <bookViews>
    <workbookView xWindow="-110" yWindow="-110" windowWidth="19420" windowHeight="10560" xr2:uid="{E8EC0E23-0E56-46F0-B3D2-8DDC144AFA2D}"/>
  </bookViews>
  <sheets>
    <sheet name="1.Data Permintaan ATK" sheetId="1" r:id="rId1"/>
    <sheet name="2.Data Pengajuan Pengadaan" sheetId="2" r:id="rId2"/>
    <sheet name="3.Data Iuran Kela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3" l="1"/>
  <c r="L2" i="2"/>
  <c r="L2" i="1"/>
</calcChain>
</file>

<file path=xl/sharedStrings.xml><?xml version="1.0" encoding="utf-8"?>
<sst xmlns="http://schemas.openxmlformats.org/spreadsheetml/2006/main" count="354" uniqueCount="195">
  <si>
    <t>LAPORAN PERMINTAAN ATK &amp; PERHITUNGAN BIAYA</t>
  </si>
  <si>
    <t>No</t>
  </si>
  <si>
    <t>Nama Pemohon</t>
  </si>
  <si>
    <t>Tanggal Disetujui</t>
  </si>
  <si>
    <t>Nama Barang</t>
  </si>
  <si>
    <t>Jumlah</t>
  </si>
  <si>
    <t>Harga Satuan (Rp)</t>
  </si>
  <si>
    <t>Status Permintaan</t>
  </si>
  <si>
    <t>Abizar</t>
  </si>
  <si>
    <t>Pulpen</t>
  </si>
  <si>
    <t>Budi</t>
  </si>
  <si>
    <t>Kertas A4</t>
  </si>
  <si>
    <t>Caca</t>
  </si>
  <si>
    <t>Map</t>
  </si>
  <si>
    <t>Deni</t>
  </si>
  <si>
    <t>Spidol</t>
  </si>
  <si>
    <t>Evi</t>
  </si>
  <si>
    <t>Fajar</t>
  </si>
  <si>
    <t>Gita</t>
  </si>
  <si>
    <t>Hendra</t>
  </si>
  <si>
    <t>Intan</t>
  </si>
  <si>
    <t>Joko</t>
  </si>
  <si>
    <t>Administrasi Umum</t>
  </si>
  <si>
    <t>Data Permintaan ATK</t>
  </si>
  <si>
    <t>Kevin</t>
  </si>
  <si>
    <t>Lina</t>
  </si>
  <si>
    <t>Miko</t>
  </si>
  <si>
    <t>Nanda</t>
  </si>
  <si>
    <t>Oki</t>
  </si>
  <si>
    <t>Putri</t>
  </si>
  <si>
    <t>Raka</t>
  </si>
  <si>
    <t>Sinta</t>
  </si>
  <si>
    <t>Taufik</t>
  </si>
  <si>
    <t>Uli</t>
  </si>
  <si>
    <t>Vina</t>
  </si>
  <si>
    <t>Wawan</t>
  </si>
  <si>
    <t>Yani</t>
  </si>
  <si>
    <t>Zaki</t>
  </si>
  <si>
    <t>Andi</t>
  </si>
  <si>
    <t>Bella</t>
  </si>
  <si>
    <t>Chandra</t>
  </si>
  <si>
    <t>Dewi</t>
  </si>
  <si>
    <t>Eko</t>
  </si>
  <si>
    <t>Farah</t>
  </si>
  <si>
    <t>Ketentuan Data :</t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</si>
  <si>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Status Permintaan "Disetujui" → </t>
    </r>
    <r>
      <rPr>
        <i/>
        <sz val="9"/>
        <color theme="1"/>
        <rFont val="Calibri"/>
        <family val="2"/>
        <scheme val="minor"/>
      </rPr>
      <t>Beri tanda Warna Hijau pada Cell</t>
    </r>
  </si>
  <si>
    <t>Keterangan</t>
  </si>
  <si>
    <t>Hasil</t>
  </si>
  <si>
    <t>Total Pendapatan</t>
  </si>
  <si>
    <t>LAPORAN STATUS PROSES PENGADAAN BARANG</t>
  </si>
  <si>
    <t>Ketentuan Data:</t>
  </si>
  <si>
    <t>Bukti Pengajuan</t>
  </si>
  <si>
    <t>Jenis Barang</t>
  </si>
  <si>
    <t>Status Proses</t>
  </si>
  <si>
    <t>Total Biaya (Rp)</t>
  </si>
  <si>
    <t>Lengkap</t>
  </si>
  <si>
    <t>Printer</t>
  </si>
  <si>
    <t>Tidak Lengkap</t>
  </si>
  <si>
    <t>Tinta Printer</t>
  </si>
  <si>
    <t>Meja Kerja</t>
  </si>
  <si>
    <t>Kursi Kantor</t>
  </si>
  <si>
    <t>Laptop</t>
  </si>
  <si>
    <t>Lemari Arsip</t>
  </si>
  <si>
    <t>Monitor</t>
  </si>
  <si>
    <t>Mouse</t>
  </si>
  <si>
    <t>Proyektor</t>
  </si>
  <si>
    <t>Data Pengajuan Pengadaan</t>
  </si>
  <si>
    <t>Administrasi Pengadaan</t>
  </si>
  <si>
    <t>Periode :</t>
  </si>
  <si>
    <t>Tanggal Laporan :</t>
  </si>
  <si>
    <t>Bagian :</t>
  </si>
  <si>
    <r>
      <t xml:space="preserve">Jika </t>
    </r>
    <r>
      <rPr>
        <b/>
        <i/>
        <sz val="9"/>
        <color theme="1"/>
        <rFont val="Calibri"/>
        <family val="2"/>
        <scheme val="minor"/>
      </rPr>
      <t>Status Proses = "Diproses" → Beri warna HIJAU pada cell</t>
    </r>
  </si>
  <si>
    <t>Karin</t>
  </si>
  <si>
    <t>Keyboard</t>
  </si>
  <si>
    <t>Lukman</t>
  </si>
  <si>
    <t>Kabel LAN</t>
  </si>
  <si>
    <t>Maya</t>
  </si>
  <si>
    <t>Scanner</t>
  </si>
  <si>
    <t>Meja Rapat</t>
  </si>
  <si>
    <t>Kursi Tamu</t>
  </si>
  <si>
    <t>Flashdisk</t>
  </si>
  <si>
    <t>Qori</t>
  </si>
  <si>
    <t>Stop Kontak</t>
  </si>
  <si>
    <t>Rizki</t>
  </si>
  <si>
    <t>Router WiFi</t>
  </si>
  <si>
    <t>Headset</t>
  </si>
  <si>
    <t>Switch Hub</t>
  </si>
  <si>
    <t>Umar</t>
  </si>
  <si>
    <t>UPS</t>
  </si>
  <si>
    <t>Webcam</t>
  </si>
  <si>
    <t>Wahyu</t>
  </si>
  <si>
    <t>CPU Komputer</t>
  </si>
  <si>
    <t>Xenia</t>
  </si>
  <si>
    <t>Meja Komputer</t>
  </si>
  <si>
    <t>Yudi</t>
  </si>
  <si>
    <t>Mouse Pad</t>
  </si>
  <si>
    <t>LCD Projector</t>
  </si>
  <si>
    <t>Tinta Infus</t>
  </si>
  <si>
    <t>Candra</t>
  </si>
  <si>
    <t>Printer Label</t>
  </si>
  <si>
    <t>Rak Arsip</t>
  </si>
  <si>
    <t>Tablet</t>
  </si>
  <si>
    <t>Monitor LED</t>
  </si>
  <si>
    <t>Gilang</t>
  </si>
  <si>
    <t>Kursi Lipat</t>
  </si>
  <si>
    <t>Hana</t>
  </si>
  <si>
    <t>Modem USB</t>
  </si>
  <si>
    <t>Ilham</t>
  </si>
  <si>
    <t>Meja Besi</t>
  </si>
  <si>
    <t>Jihan</t>
  </si>
  <si>
    <t>Laptop Stand</t>
  </si>
  <si>
    <t>Speaker Aktif</t>
  </si>
  <si>
    <t>Mic Wireless</t>
  </si>
  <si>
    <t>CCTV</t>
  </si>
  <si>
    <t>Niko</t>
  </si>
  <si>
    <t>Harddisk Eksternal</t>
  </si>
  <si>
    <t>Olivia</t>
  </si>
  <si>
    <t>SSD Internal</t>
  </si>
  <si>
    <t>Putra</t>
  </si>
  <si>
    <t>Power Supply</t>
  </si>
  <si>
    <t>Qila</t>
  </si>
  <si>
    <t>Casing CPU</t>
  </si>
  <si>
    <t>Reno</t>
  </si>
  <si>
    <t>Printer Inkjet</t>
  </si>
  <si>
    <t>Salsa</t>
  </si>
  <si>
    <t>Toner Printer</t>
  </si>
  <si>
    <t>Tio</t>
  </si>
  <si>
    <t>Notebook Kantor</t>
  </si>
  <si>
    <t>Lemari Dokumen</t>
  </si>
  <si>
    <t>Vito</t>
  </si>
  <si>
    <t>Meja Kasir</t>
  </si>
  <si>
    <t>Winda</t>
  </si>
  <si>
    <t>Telepon Kantor</t>
  </si>
  <si>
    <t>Yola</t>
  </si>
  <si>
    <t>Kalkulator</t>
  </si>
  <si>
    <t>Whiteboard</t>
  </si>
  <si>
    <t>Nama Siswa</t>
  </si>
  <si>
    <t>Iuran Bulanan</t>
  </si>
  <si>
    <t>Nominal Bayar</t>
  </si>
  <si>
    <t>Status</t>
  </si>
  <si>
    <t>Total Bayar</t>
  </si>
  <si>
    <t>Aldi</t>
  </si>
  <si>
    <t>Bima</t>
  </si>
  <si>
    <t>Citra</t>
  </si>
  <si>
    <t>Dion</t>
  </si>
  <si>
    <t>Elsa</t>
  </si>
  <si>
    <t>Farhan</t>
  </si>
  <si>
    <t>Ghani</t>
  </si>
  <si>
    <t>Irfan</t>
  </si>
  <si>
    <t>Laras</t>
  </si>
  <si>
    <t>Mario</t>
  </si>
  <si>
    <t>Nina</t>
  </si>
  <si>
    <t>Omar</t>
  </si>
  <si>
    <t>Xena</t>
  </si>
  <si>
    <t>Yoga</t>
  </si>
  <si>
    <t>Zahra</t>
  </si>
  <si>
    <t>Fina</t>
  </si>
  <si>
    <t>Hesti</t>
  </si>
  <si>
    <t>Jessica</t>
  </si>
  <si>
    <t>Kurnia</t>
  </si>
  <si>
    <t>Nando</t>
  </si>
  <si>
    <t>Olin</t>
  </si>
  <si>
    <t>Tari</t>
  </si>
  <si>
    <t>Wulan</t>
  </si>
  <si>
    <t>Yanti</t>
  </si>
  <si>
    <t>Data Iuran Kelas</t>
  </si>
  <si>
    <t>LAPORAN STATUS IURAN KELAS</t>
  </si>
  <si>
    <r>
      <t xml:space="preserve">Jika </t>
    </r>
    <r>
      <rPr>
        <b/>
        <i/>
        <sz val="9"/>
        <color theme="1"/>
        <rFont val="Calibri"/>
        <family val="2"/>
        <scheme val="minor"/>
      </rPr>
      <t>Status  = "Lunas" → Beri warna HIJAU pada cell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</si>
  <si>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>Tanggal Disetujui</t>
    </r>
    <r>
      <rPr>
        <i/>
        <sz val="9"/>
        <color theme="1"/>
        <rFont val="Calibri"/>
        <family val="2"/>
        <scheme val="minor"/>
      </rPr>
      <t xml:space="preserve"> Belum diisi maka kolom </t>
    </r>
    <r>
      <rPr>
        <b/>
        <i/>
        <sz val="9"/>
        <color theme="1"/>
        <rFont val="Calibri"/>
        <family val="2"/>
        <scheme val="minor"/>
      </rPr>
      <t>Status Permintaan</t>
    </r>
    <r>
      <rPr>
        <i/>
        <sz val="9"/>
        <color theme="1"/>
        <rFont val="Calibri"/>
        <family val="2"/>
        <scheme val="minor"/>
      </rPr>
      <t xml:space="preserve"> "Tidak Disetujui"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</si>
  <si>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Tanggal Disetujui </t>
    </r>
    <r>
      <rPr>
        <i/>
        <sz val="9"/>
        <color theme="1"/>
        <rFont val="Calibri"/>
        <family val="2"/>
        <scheme val="minor"/>
      </rPr>
      <t xml:space="preserve">Sudah diisi maka kolom </t>
    </r>
    <r>
      <rPr>
        <b/>
        <i/>
        <sz val="9"/>
        <color theme="1"/>
        <rFont val="Calibri"/>
        <family val="2"/>
        <scheme val="minor"/>
      </rPr>
      <t>Status Permintaan</t>
    </r>
    <r>
      <rPr>
        <i/>
        <sz val="9"/>
        <color theme="1"/>
        <rFont val="Calibri"/>
        <family val="2"/>
        <scheme val="minor"/>
      </rPr>
      <t xml:space="preserve"> "Disetujui"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</si>
  <si>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Bukti Pengajuan = </t>
    </r>
    <r>
      <rPr>
        <i/>
        <sz val="9"/>
        <color theme="1"/>
        <rFont val="Calibri"/>
        <family val="2"/>
        <scheme val="minor"/>
      </rPr>
      <t xml:space="preserve">Lengkap, maka kolom </t>
    </r>
    <r>
      <rPr>
        <b/>
        <i/>
        <sz val="9"/>
        <color theme="1"/>
        <rFont val="Calibri"/>
        <family val="2"/>
        <scheme val="minor"/>
      </rPr>
      <t>Status Proses</t>
    </r>
    <r>
      <rPr>
        <i/>
        <sz val="9"/>
        <color theme="1"/>
        <rFont val="Calibri"/>
        <family val="2"/>
        <scheme val="minor"/>
      </rPr>
      <t xml:space="preserve"> "Diproses"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</si>
  <si>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Bukti Pengajuan ≠ </t>
    </r>
    <r>
      <rPr>
        <i/>
        <sz val="9"/>
        <color theme="1"/>
        <rFont val="Calibri"/>
        <family val="2"/>
        <scheme val="minor"/>
      </rPr>
      <t xml:space="preserve">Lengkap, maka kolom </t>
    </r>
    <r>
      <rPr>
        <b/>
        <i/>
        <sz val="9"/>
        <color theme="1"/>
        <rFont val="Calibri"/>
        <family val="2"/>
        <scheme val="minor"/>
      </rPr>
      <t>Status Proses</t>
    </r>
    <r>
      <rPr>
        <i/>
        <sz val="9"/>
        <color theme="1"/>
        <rFont val="Calibri"/>
        <family val="2"/>
        <scheme val="minor"/>
      </rPr>
      <t xml:space="preserve"> " Belum Diproses"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</si>
  <si>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Nominal Bayar </t>
    </r>
    <r>
      <rPr>
        <i/>
        <sz val="9"/>
        <color theme="1"/>
        <rFont val="Calibri"/>
        <family val="2"/>
        <scheme val="minor"/>
      </rPr>
      <t xml:space="preserve"> Sudah diisi, maka kolom </t>
    </r>
    <r>
      <rPr>
        <b/>
        <i/>
        <sz val="9"/>
        <color theme="1"/>
        <rFont val="Calibri"/>
        <family val="2"/>
        <scheme val="minor"/>
      </rPr>
      <t xml:space="preserve">Status </t>
    </r>
    <r>
      <rPr>
        <i/>
        <sz val="9"/>
        <color theme="1"/>
        <rFont val="Calibri"/>
        <family val="2"/>
        <scheme val="minor"/>
      </rPr>
      <t>"Lunas"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</si>
  <si>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Nominal Bayar  </t>
    </r>
    <r>
      <rPr>
        <i/>
        <sz val="9"/>
        <color theme="1"/>
        <rFont val="Calibri"/>
        <family val="2"/>
        <scheme val="minor"/>
      </rPr>
      <t xml:space="preserve">Belum diisi, maka kolom </t>
    </r>
    <r>
      <rPr>
        <b/>
        <i/>
        <sz val="9"/>
        <color theme="1"/>
        <rFont val="Calibri"/>
        <family val="2"/>
        <scheme val="minor"/>
      </rPr>
      <t>Status</t>
    </r>
    <r>
      <rPr>
        <i/>
        <sz val="9"/>
        <color theme="1"/>
        <rFont val="Calibri"/>
        <family val="2"/>
        <scheme val="minor"/>
      </rPr>
      <t xml:space="preserve"> "Belum Lunas"</t>
    </r>
  </si>
  <si>
    <t>Nilai</t>
  </si>
  <si>
    <t>Kontribusi (%)</t>
  </si>
  <si>
    <t>Total Seluruh Pendapatan</t>
  </si>
  <si>
    <t>Pendapatan Tertinggi (MAX)</t>
  </si>
  <si>
    <t>Pendapatan Terendah (MIN)</t>
  </si>
  <si>
    <t>Jumlah Data Permintaan</t>
  </si>
  <si>
    <t>Nama Pemohon Tertinggi</t>
  </si>
  <si>
    <t>Nama Pemohon Terendah</t>
  </si>
  <si>
    <t>Rekapitulasi</t>
  </si>
  <si>
    <r>
      <t>Periode:</t>
    </r>
    <r>
      <rPr>
        <sz val="11"/>
        <color theme="1"/>
        <rFont val="Calibri"/>
        <family val="2"/>
        <scheme val="minor"/>
      </rPr>
      <t xml:space="preserve"> </t>
    </r>
  </si>
  <si>
    <r>
      <t>Tanggal Laporan:</t>
    </r>
    <r>
      <rPr>
        <sz val="11"/>
        <color theme="1"/>
        <rFont val="Calibri"/>
        <family val="2"/>
        <scheme val="minor"/>
      </rPr>
      <t xml:space="preserve"> </t>
    </r>
  </si>
  <si>
    <r>
      <t>Bagian: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</si>
  <si>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Hitung </t>
    </r>
    <r>
      <rPr>
        <b/>
        <i/>
        <sz val="9"/>
        <color theme="1"/>
        <rFont val="Calibri"/>
        <family val="2"/>
        <scheme val="minor"/>
      </rPr>
      <t>Total Pendapatan</t>
    </r>
    <r>
      <rPr>
        <i/>
        <sz val="9"/>
        <color theme="1"/>
        <rFont val="Calibri"/>
        <family val="2"/>
        <scheme val="minor"/>
      </rPr>
      <t xml:space="preserve"> berdasarkan </t>
    </r>
    <r>
      <rPr>
        <b/>
        <i/>
        <sz val="9"/>
        <color theme="1"/>
        <rFont val="Calibri"/>
        <family val="2"/>
        <scheme val="minor"/>
      </rPr>
      <t>Status Permintaan:</t>
    </r>
  </si>
  <si>
    <r>
      <t>a. Jika Status Permintaan "</t>
    </r>
    <r>
      <rPr>
        <b/>
        <i/>
        <sz val="9"/>
        <color theme="1"/>
        <rFont val="Calibri"/>
        <family val="2"/>
        <scheme val="minor"/>
      </rPr>
      <t>Disetujui"</t>
    </r>
    <r>
      <rPr>
        <i/>
        <sz val="9"/>
        <color theme="1"/>
        <rFont val="Calibri"/>
        <family val="2"/>
        <scheme val="minor"/>
      </rPr>
      <t xml:space="preserve">, maka </t>
    </r>
    <r>
      <rPr>
        <b/>
        <i/>
        <sz val="9"/>
        <color theme="1"/>
        <rFont val="Calibri"/>
        <family val="2"/>
        <scheme val="minor"/>
      </rPr>
      <t>Kolom Jumlah X Kolom Harga Satuan (Rp)</t>
    </r>
  </si>
  <si>
    <t>b. Jika Tidak, maka 0</t>
  </si>
  <si>
    <r>
      <t xml:space="preserve">Hitung </t>
    </r>
    <r>
      <rPr>
        <b/>
        <i/>
        <sz val="9"/>
        <color theme="1"/>
        <rFont val="Calibri"/>
        <family val="2"/>
        <scheme val="minor"/>
      </rPr>
      <t>Total Biaya</t>
    </r>
    <r>
      <rPr>
        <i/>
        <sz val="9"/>
        <color theme="1"/>
        <rFont val="Calibri"/>
        <family val="2"/>
        <scheme val="minor"/>
      </rPr>
      <t xml:space="preserve"> berdasarkan </t>
    </r>
    <r>
      <rPr>
        <b/>
        <i/>
        <sz val="9"/>
        <color theme="1"/>
        <rFont val="Calibri"/>
        <family val="2"/>
        <scheme val="minor"/>
      </rPr>
      <t>Status Proses:</t>
    </r>
  </si>
  <si>
    <r>
      <t xml:space="preserve">a. Jika Status Proses" </t>
    </r>
    <r>
      <rPr>
        <b/>
        <i/>
        <sz val="9"/>
        <color theme="1"/>
        <rFont val="Calibri"/>
        <family val="2"/>
        <scheme val="minor"/>
      </rPr>
      <t>Diproses"</t>
    </r>
    <r>
      <rPr>
        <i/>
        <sz val="9"/>
        <color theme="1"/>
        <rFont val="Calibri"/>
        <family val="2"/>
        <scheme val="minor"/>
      </rPr>
      <t xml:space="preserve">, maka </t>
    </r>
    <r>
      <rPr>
        <b/>
        <i/>
        <sz val="9"/>
        <color theme="1"/>
        <rFont val="Calibri"/>
        <family val="2"/>
        <scheme val="minor"/>
      </rPr>
      <t>Kolom Jumlah X Kolom Harga Satuan (Rp)</t>
    </r>
  </si>
  <si>
    <r>
      <t xml:space="preserve">Hitung </t>
    </r>
    <r>
      <rPr>
        <b/>
        <i/>
        <sz val="9"/>
        <color theme="1"/>
        <rFont val="Calibri"/>
        <family val="2"/>
        <scheme val="minor"/>
      </rPr>
      <t>Total Bayar</t>
    </r>
    <r>
      <rPr>
        <i/>
        <sz val="9"/>
        <color theme="1"/>
        <rFont val="Calibri"/>
        <family val="2"/>
        <scheme val="minor"/>
      </rPr>
      <t xml:space="preserve"> berdasarkan Kolom </t>
    </r>
    <r>
      <rPr>
        <b/>
        <i/>
        <sz val="9"/>
        <color theme="1"/>
        <rFont val="Calibri"/>
        <family val="2"/>
        <scheme val="minor"/>
      </rPr>
      <t>Status :</t>
    </r>
  </si>
  <si>
    <r>
      <t xml:space="preserve">a. Jika Kolom </t>
    </r>
    <r>
      <rPr>
        <b/>
        <i/>
        <sz val="9"/>
        <color theme="1"/>
        <rFont val="Calibri"/>
        <family val="2"/>
        <scheme val="minor"/>
      </rPr>
      <t xml:space="preserve">Status </t>
    </r>
    <r>
      <rPr>
        <i/>
        <sz val="9"/>
        <color theme="1"/>
        <rFont val="Calibri"/>
        <family val="2"/>
        <scheme val="minor"/>
      </rPr>
      <t>"</t>
    </r>
    <r>
      <rPr>
        <b/>
        <i/>
        <sz val="9"/>
        <color theme="1"/>
        <rFont val="Calibri"/>
        <family val="2"/>
        <scheme val="minor"/>
      </rPr>
      <t>Lunas</t>
    </r>
    <r>
      <rPr>
        <i/>
        <sz val="9"/>
        <color theme="1"/>
        <rFont val="Calibri"/>
        <family val="2"/>
        <scheme val="minor"/>
      </rPr>
      <t xml:space="preserve">", maka nilai yang di ambil tetap dari </t>
    </r>
    <r>
      <rPr>
        <b/>
        <i/>
        <sz val="9"/>
        <color theme="1"/>
        <rFont val="Calibri"/>
        <family val="2"/>
        <scheme val="minor"/>
      </rPr>
      <t>Kolom Nominal Bayar</t>
    </r>
  </si>
  <si>
    <t>Total Seluruh Biaya</t>
  </si>
  <si>
    <t>Total Seluruh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</si>
</sst>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p&quot;* #,##0_-;\-&quot;Rp&quot;* #,##0_-;_-&quot;Rp&quot;* &quot;-&quot;??_-;_-@_-"/>
    <numFmt numFmtId="165" formatCode="mmmm\ yyyy"/>
    <numFmt numFmtId="166" formatCode="dddd\ mmmm\ yyyy"/>
    <numFmt numFmtId="167" formatCode="dd\ mmmm\ yyyy"/>
  </numFmts>
  <fonts count="21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  <font>
      <b/>
      <sz val="20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3.5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0" xfId="0" applyNumberFormat="1"/>
    <xf numFmtId="164" fontId="0" fillId="0" borderId="1" xfId="0" applyNumberFormat="1" applyBorder="1"/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0" fillId="0" borderId="1" xfId="0" applyBorder="1"/>
    <xf numFmtId="0" fontId="10" fillId="0" borderId="0" xfId="0" applyFont="1" applyAlignment="1">
      <alignment horizontal="left" vertical="center" inden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0" fillId="0" borderId="0" xfId="0" applyFont="1"/>
    <xf numFmtId="0" fontId="2" fillId="0" borderId="0" xfId="0" applyFont="1"/>
    <xf numFmtId="0" fontId="12" fillId="0" borderId="0" xfId="0" applyFont="1" applyAlignment="1">
      <alignment horizontal="left" vertical="center"/>
    </xf>
    <xf numFmtId="0" fontId="4" fillId="0" borderId="1" xfId="0" applyFont="1" applyBorder="1"/>
    <xf numFmtId="164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" fillId="0" borderId="0" xfId="0" applyFont="1"/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1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4" fillId="0" borderId="1" xfId="1" applyNumberFormat="1" applyFont="1" applyBorder="1"/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vertical="center"/>
    </xf>
    <xf numFmtId="165" fontId="9" fillId="2" borderId="3" xfId="0" applyNumberFormat="1" applyFont="1" applyFill="1" applyBorder="1" applyAlignment="1">
      <alignment vertical="center"/>
    </xf>
    <xf numFmtId="167" fontId="9" fillId="2" borderId="2" xfId="0" applyNumberFormat="1" applyFont="1" applyFill="1" applyBorder="1" applyAlignment="1">
      <alignment vertical="center"/>
    </xf>
    <xf numFmtId="167" fontId="9" fillId="2" borderId="3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5" borderId="2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1" fontId="16" fillId="0" borderId="6" xfId="0" applyNumberFormat="1" applyFont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5" fontId="2" fillId="4" borderId="2" xfId="0" applyNumberFormat="1" applyFont="1" applyFill="1" applyBorder="1" applyAlignment="1">
      <alignment horizontal="left" vertical="center"/>
    </xf>
    <xf numFmtId="165" fontId="2" fillId="4" borderId="3" xfId="0" applyNumberFormat="1" applyFont="1" applyFill="1" applyBorder="1" applyAlignment="1">
      <alignment horizontal="left" vertical="center"/>
    </xf>
    <xf numFmtId="166" fontId="2" fillId="4" borderId="2" xfId="0" applyNumberFormat="1" applyFont="1" applyFill="1" applyBorder="1" applyAlignment="1">
      <alignment horizontal="left" vertical="center"/>
    </xf>
    <xf numFmtId="166" fontId="2" fillId="4" borderId="3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27"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B48FFF"/>
      <color rgb="FFFF3399"/>
      <color rgb="FFAA53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4</xdr:col>
      <xdr:colOff>933720</xdr:colOff>
      <xdr:row>3</xdr:row>
      <xdr:rowOff>156433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61C9FA10-DA8E-4606-9451-98FF57AAA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0"/>
          <a:ext cx="4457970" cy="791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44720</xdr:colOff>
      <xdr:row>4</xdr:row>
      <xdr:rowOff>31247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46868ED7-D21F-41CE-88B6-C389C5BE8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970" cy="791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413020</xdr:colOff>
      <xdr:row>3</xdr:row>
      <xdr:rowOff>160666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CF6C669A-54AF-4E3B-98A0-7099ABE20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970" cy="79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788A-4A35-47FF-8D4A-F5650B7D0141}">
  <sheetPr>
    <pageSetUpPr fitToPage="1"/>
  </sheetPr>
  <dimension ref="A1:L52"/>
  <sheetViews>
    <sheetView tabSelected="1" zoomScale="70" zoomScaleNormal="70" workbookViewId="0">
      <pane ySplit="5" topLeftCell="A6" activePane="bottomLeft" state="frozen"/>
      <selection pane="bottomLeft" activeCell="E23" sqref="E23"/>
    </sheetView>
  </sheetViews>
  <sheetFormatPr defaultRowHeight="14.5" x14ac:dyDescent="0.35"/>
  <cols>
    <col min="1" max="1" width="11.54296875" style="1" customWidth="1"/>
    <col min="2" max="2" width="11.90625" customWidth="1"/>
    <col min="3" max="3" width="13.90625" customWidth="1"/>
    <col min="4" max="4" width="13.453125" customWidth="1"/>
    <col min="5" max="5" width="15.453125" customWidth="1"/>
    <col min="6" max="6" width="8.7265625" style="1"/>
    <col min="7" max="7" width="11.54296875" customWidth="1"/>
    <col min="8" max="8" width="14.1796875" style="6" customWidth="1"/>
    <col min="9" max="9" width="13.36328125" customWidth="1"/>
    <col min="10" max="10" width="3.1796875" customWidth="1"/>
    <col min="11" max="11" width="30.6328125" customWidth="1"/>
    <col min="12" max="12" width="22.6328125" customWidth="1"/>
  </cols>
  <sheetData>
    <row r="1" spans="1:12" ht="21" x14ac:dyDescent="0.35">
      <c r="L1" s="41" t="s">
        <v>174</v>
      </c>
    </row>
    <row r="2" spans="1:12" ht="14.5" customHeight="1" x14ac:dyDescent="0.35">
      <c r="L2" s="58">
        <f>(SUMPRODUCT(--_xlfn.ISFORMULA(E23:E52))+SUMPRODUCT(--_xlfn.ISFORMULA(H23:H52))+_xlfn.ISFORMULA(I23:I52)+_xlfn.ISFORMULA(L24:L29))/62*100</f>
        <v>0</v>
      </c>
    </row>
    <row r="3" spans="1:12" ht="14.5" customHeight="1" x14ac:dyDescent="0.35">
      <c r="L3" s="58"/>
    </row>
    <row r="4" spans="1:12" ht="14.5" customHeight="1" x14ac:dyDescent="0.35">
      <c r="L4" s="58"/>
    </row>
    <row r="5" spans="1:12" ht="15" customHeight="1" thickBot="1" x14ac:dyDescent="0.4">
      <c r="L5" s="59"/>
    </row>
    <row r="7" spans="1:12" ht="26" x14ac:dyDescent="0.35">
      <c r="A7" s="60" t="s">
        <v>0</v>
      </c>
      <c r="B7" s="60"/>
      <c r="C7" s="60"/>
      <c r="D7" s="60"/>
      <c r="E7" s="60"/>
      <c r="F7" s="60"/>
      <c r="G7" s="60"/>
      <c r="H7" s="60"/>
      <c r="I7" s="60"/>
      <c r="J7" s="60"/>
      <c r="K7" s="60"/>
    </row>
    <row r="9" spans="1:12" x14ac:dyDescent="0.35">
      <c r="A9" s="13" t="s">
        <v>44</v>
      </c>
      <c r="B9" s="14"/>
    </row>
    <row r="10" spans="1:12" ht="17.5" x14ac:dyDescent="0.35">
      <c r="A10" s="15">
        <v>1</v>
      </c>
      <c r="B10" s="16" t="s">
        <v>169</v>
      </c>
      <c r="H10" s="42"/>
    </row>
    <row r="11" spans="1:12" x14ac:dyDescent="0.35">
      <c r="A11" s="17">
        <v>2</v>
      </c>
      <c r="B11" s="16" t="s">
        <v>168</v>
      </c>
      <c r="H11"/>
    </row>
    <row r="12" spans="1:12" x14ac:dyDescent="0.35">
      <c r="A12" s="15">
        <v>3</v>
      </c>
      <c r="B12" s="16" t="s">
        <v>45</v>
      </c>
      <c r="H12"/>
    </row>
    <row r="13" spans="1:12" x14ac:dyDescent="0.35">
      <c r="A13" s="15">
        <v>4</v>
      </c>
      <c r="B13" s="16" t="s">
        <v>186</v>
      </c>
      <c r="H13"/>
    </row>
    <row r="14" spans="1:12" ht="18.5" x14ac:dyDescent="0.35">
      <c r="A14" s="15"/>
      <c r="B14" s="16" t="s">
        <v>187</v>
      </c>
      <c r="C14" s="45"/>
      <c r="D14" s="45"/>
      <c r="E14" s="45"/>
      <c r="F14" s="45"/>
      <c r="H14"/>
    </row>
    <row r="15" spans="1:12" x14ac:dyDescent="0.35">
      <c r="B15" s="16" t="s">
        <v>188</v>
      </c>
      <c r="F15"/>
      <c r="H15"/>
    </row>
    <row r="16" spans="1:12" x14ac:dyDescent="0.35">
      <c r="A16" s="46"/>
      <c r="B16" s="46"/>
      <c r="F16"/>
      <c r="H16"/>
    </row>
    <row r="17" spans="1:12" x14ac:dyDescent="0.35">
      <c r="A17" s="57" t="s">
        <v>183</v>
      </c>
      <c r="B17" s="57"/>
      <c r="C17" s="57"/>
      <c r="D17" s="57"/>
      <c r="E17" s="57"/>
      <c r="F17" s="57"/>
      <c r="G17" s="57"/>
      <c r="H17" s="51">
        <v>46266</v>
      </c>
      <c r="I17" s="52"/>
      <c r="J17" s="8"/>
      <c r="K17" s="9"/>
    </row>
    <row r="18" spans="1:12" x14ac:dyDescent="0.35">
      <c r="A18" s="57" t="s">
        <v>184</v>
      </c>
      <c r="B18" s="57"/>
      <c r="C18" s="57"/>
      <c r="D18" s="57"/>
      <c r="E18" s="57"/>
      <c r="F18" s="57"/>
      <c r="G18" s="57"/>
      <c r="H18" s="53">
        <v>46295</v>
      </c>
      <c r="I18" s="54"/>
      <c r="J18" s="10"/>
      <c r="K18" s="11"/>
    </row>
    <row r="19" spans="1:12" x14ac:dyDescent="0.35">
      <c r="A19" s="57" t="s">
        <v>185</v>
      </c>
      <c r="B19" s="57"/>
      <c r="C19" s="57"/>
      <c r="D19" s="57"/>
      <c r="E19" s="57"/>
      <c r="F19" s="57"/>
      <c r="G19" s="57"/>
      <c r="H19" s="55" t="s">
        <v>22</v>
      </c>
      <c r="I19" s="56"/>
      <c r="J19" s="12"/>
      <c r="K19" s="11"/>
    </row>
    <row r="20" spans="1:12" x14ac:dyDescent="0.35">
      <c r="J20" s="10"/>
      <c r="K20" s="11"/>
    </row>
    <row r="21" spans="1:12" ht="15.5" x14ac:dyDescent="0.35">
      <c r="A21" s="25" t="s">
        <v>23</v>
      </c>
    </row>
    <row r="22" spans="1:12" ht="29" x14ac:dyDescent="0.35">
      <c r="A22" s="33" t="s">
        <v>1</v>
      </c>
      <c r="B22" s="33" t="s">
        <v>2</v>
      </c>
      <c r="C22" s="33" t="s">
        <v>3</v>
      </c>
      <c r="D22" s="33" t="s">
        <v>4</v>
      </c>
      <c r="E22" s="33" t="s">
        <v>7</v>
      </c>
      <c r="F22" s="33" t="s">
        <v>5</v>
      </c>
      <c r="G22" s="33" t="s">
        <v>6</v>
      </c>
      <c r="H22" s="33" t="s">
        <v>48</v>
      </c>
      <c r="I22" s="33" t="s">
        <v>175</v>
      </c>
      <c r="K22" s="49" t="s">
        <v>182</v>
      </c>
      <c r="L22" s="50"/>
    </row>
    <row r="23" spans="1:12" x14ac:dyDescent="0.35">
      <c r="A23" s="4">
        <v>1</v>
      </c>
      <c r="B23" s="2" t="s">
        <v>8</v>
      </c>
      <c r="C23" s="3">
        <v>46270</v>
      </c>
      <c r="D23" s="4" t="s">
        <v>9</v>
      </c>
      <c r="E23" s="4"/>
      <c r="F23" s="4">
        <v>2</v>
      </c>
      <c r="G23" s="5">
        <v>5000</v>
      </c>
      <c r="H23" s="5"/>
      <c r="I23" s="44"/>
      <c r="K23" s="43" t="s">
        <v>46</v>
      </c>
      <c r="L23" s="43" t="s">
        <v>47</v>
      </c>
    </row>
    <row r="24" spans="1:12" x14ac:dyDescent="0.35">
      <c r="A24" s="4">
        <v>2</v>
      </c>
      <c r="B24" s="2" t="s">
        <v>10</v>
      </c>
      <c r="C24" s="2"/>
      <c r="D24" s="4" t="s">
        <v>11</v>
      </c>
      <c r="E24" s="4"/>
      <c r="F24" s="4">
        <v>1</v>
      </c>
      <c r="G24" s="5">
        <v>50000</v>
      </c>
      <c r="H24" s="5"/>
      <c r="I24" s="44"/>
      <c r="K24" s="2" t="s">
        <v>176</v>
      </c>
      <c r="L24" s="5"/>
    </row>
    <row r="25" spans="1:12" x14ac:dyDescent="0.35">
      <c r="A25" s="4">
        <v>3</v>
      </c>
      <c r="B25" s="2" t="s">
        <v>12</v>
      </c>
      <c r="C25" s="3">
        <v>46271</v>
      </c>
      <c r="D25" s="4" t="s">
        <v>13</v>
      </c>
      <c r="E25" s="4"/>
      <c r="F25" s="4">
        <v>5</v>
      </c>
      <c r="G25" s="5">
        <v>3000</v>
      </c>
      <c r="H25" s="5"/>
      <c r="I25" s="44"/>
      <c r="K25" s="2" t="s">
        <v>177</v>
      </c>
      <c r="L25" s="5"/>
    </row>
    <row r="26" spans="1:12" x14ac:dyDescent="0.35">
      <c r="A26" s="4">
        <v>4</v>
      </c>
      <c r="B26" s="2" t="s">
        <v>14</v>
      </c>
      <c r="C26" s="2"/>
      <c r="D26" s="4" t="s">
        <v>15</v>
      </c>
      <c r="E26" s="4"/>
      <c r="F26" s="4">
        <v>2</v>
      </c>
      <c r="G26" s="5">
        <v>8000</v>
      </c>
      <c r="H26" s="5"/>
      <c r="I26" s="44"/>
      <c r="K26" s="2" t="s">
        <v>178</v>
      </c>
      <c r="L26" s="5"/>
    </row>
    <row r="27" spans="1:12" x14ac:dyDescent="0.35">
      <c r="A27" s="4">
        <v>5</v>
      </c>
      <c r="B27" s="2" t="s">
        <v>16</v>
      </c>
      <c r="C27" s="3">
        <v>46272</v>
      </c>
      <c r="D27" s="4" t="s">
        <v>9</v>
      </c>
      <c r="E27" s="4"/>
      <c r="F27" s="4">
        <v>3</v>
      </c>
      <c r="G27" s="5">
        <v>5000</v>
      </c>
      <c r="H27" s="5"/>
      <c r="I27" s="44"/>
      <c r="K27" s="2" t="s">
        <v>179</v>
      </c>
      <c r="L27" s="2"/>
    </row>
    <row r="28" spans="1:12" x14ac:dyDescent="0.35">
      <c r="A28" s="4">
        <v>6</v>
      </c>
      <c r="B28" s="2" t="s">
        <v>17</v>
      </c>
      <c r="C28" s="3">
        <v>46273</v>
      </c>
      <c r="D28" s="4" t="s">
        <v>11</v>
      </c>
      <c r="E28" s="4"/>
      <c r="F28" s="4">
        <v>2</v>
      </c>
      <c r="G28" s="5">
        <v>50000</v>
      </c>
      <c r="H28" s="5"/>
      <c r="I28" s="44"/>
      <c r="K28" s="2" t="s">
        <v>180</v>
      </c>
      <c r="L28" s="2"/>
    </row>
    <row r="29" spans="1:12" x14ac:dyDescent="0.35">
      <c r="A29" s="4">
        <v>7</v>
      </c>
      <c r="B29" s="2" t="s">
        <v>18</v>
      </c>
      <c r="C29" s="2"/>
      <c r="D29" s="4" t="s">
        <v>13</v>
      </c>
      <c r="E29" s="4"/>
      <c r="F29" s="4">
        <v>4</v>
      </c>
      <c r="G29" s="5">
        <v>3000</v>
      </c>
      <c r="H29" s="5"/>
      <c r="I29" s="44"/>
      <c r="K29" s="2" t="s">
        <v>181</v>
      </c>
      <c r="L29" s="2"/>
    </row>
    <row r="30" spans="1:12" x14ac:dyDescent="0.35">
      <c r="A30" s="4">
        <v>8</v>
      </c>
      <c r="B30" s="2" t="s">
        <v>19</v>
      </c>
      <c r="C30" s="3">
        <v>46274</v>
      </c>
      <c r="D30" s="4" t="s">
        <v>9</v>
      </c>
      <c r="E30" s="4"/>
      <c r="F30" s="4">
        <v>1</v>
      </c>
      <c r="G30" s="5">
        <v>5000</v>
      </c>
      <c r="H30" s="5"/>
      <c r="I30" s="44"/>
    </row>
    <row r="31" spans="1:12" x14ac:dyDescent="0.35">
      <c r="A31" s="4">
        <v>9</v>
      </c>
      <c r="B31" s="2" t="s">
        <v>20</v>
      </c>
      <c r="C31" s="2"/>
      <c r="D31" s="4" t="s">
        <v>15</v>
      </c>
      <c r="E31" s="4"/>
      <c r="F31" s="4">
        <v>3</v>
      </c>
      <c r="G31" s="5">
        <v>8000</v>
      </c>
      <c r="H31" s="5"/>
      <c r="I31" s="44"/>
    </row>
    <row r="32" spans="1:12" x14ac:dyDescent="0.35">
      <c r="A32" s="4">
        <v>10</v>
      </c>
      <c r="B32" s="2" t="s">
        <v>21</v>
      </c>
      <c r="C32" s="3">
        <v>46275</v>
      </c>
      <c r="D32" s="4" t="s">
        <v>11</v>
      </c>
      <c r="E32" s="4"/>
      <c r="F32" s="4">
        <v>1</v>
      </c>
      <c r="G32" s="5">
        <v>50000</v>
      </c>
      <c r="H32" s="5"/>
      <c r="I32" s="44"/>
    </row>
    <row r="33" spans="1:9" x14ac:dyDescent="0.35">
      <c r="A33" s="4">
        <v>11</v>
      </c>
      <c r="B33" s="2" t="s">
        <v>24</v>
      </c>
      <c r="C33" s="3">
        <v>46276</v>
      </c>
      <c r="D33" s="4" t="s">
        <v>9</v>
      </c>
      <c r="E33" s="4"/>
      <c r="F33" s="4">
        <v>4</v>
      </c>
      <c r="G33" s="5">
        <v>5000</v>
      </c>
      <c r="H33" s="5"/>
      <c r="I33" s="44"/>
    </row>
    <row r="34" spans="1:9" x14ac:dyDescent="0.35">
      <c r="A34" s="4">
        <v>12</v>
      </c>
      <c r="B34" s="2" t="s">
        <v>25</v>
      </c>
      <c r="C34" s="2"/>
      <c r="D34" s="4" t="s">
        <v>13</v>
      </c>
      <c r="E34" s="4"/>
      <c r="F34" s="4">
        <v>6</v>
      </c>
      <c r="G34" s="5">
        <v>3000</v>
      </c>
      <c r="H34" s="5"/>
      <c r="I34" s="44"/>
    </row>
    <row r="35" spans="1:9" x14ac:dyDescent="0.35">
      <c r="A35" s="4">
        <v>13</v>
      </c>
      <c r="B35" s="2" t="s">
        <v>26</v>
      </c>
      <c r="C35" s="3">
        <v>46277</v>
      </c>
      <c r="D35" s="4" t="s">
        <v>15</v>
      </c>
      <c r="E35" s="4"/>
      <c r="F35" s="4">
        <v>2</v>
      </c>
      <c r="G35" s="5">
        <v>8000</v>
      </c>
      <c r="H35" s="5"/>
      <c r="I35" s="44"/>
    </row>
    <row r="36" spans="1:9" x14ac:dyDescent="0.35">
      <c r="A36" s="4">
        <v>14</v>
      </c>
      <c r="B36" s="2" t="s">
        <v>27</v>
      </c>
      <c r="C36" s="2"/>
      <c r="D36" s="4" t="s">
        <v>11</v>
      </c>
      <c r="E36" s="4"/>
      <c r="F36" s="4">
        <v>1</v>
      </c>
      <c r="G36" s="5">
        <v>50000</v>
      </c>
      <c r="H36" s="5"/>
      <c r="I36" s="44"/>
    </row>
    <row r="37" spans="1:9" x14ac:dyDescent="0.35">
      <c r="A37" s="4">
        <v>15</v>
      </c>
      <c r="B37" s="2" t="s">
        <v>28</v>
      </c>
      <c r="C37" s="3">
        <v>46278</v>
      </c>
      <c r="D37" s="4" t="s">
        <v>9</v>
      </c>
      <c r="E37" s="4"/>
      <c r="F37" s="4">
        <v>5</v>
      </c>
      <c r="G37" s="5">
        <v>5000</v>
      </c>
      <c r="H37" s="5"/>
      <c r="I37" s="44"/>
    </row>
    <row r="38" spans="1:9" x14ac:dyDescent="0.35">
      <c r="A38" s="4">
        <v>16</v>
      </c>
      <c r="B38" s="2" t="s">
        <v>29</v>
      </c>
      <c r="C38" s="3">
        <v>46279</v>
      </c>
      <c r="D38" s="4" t="s">
        <v>13</v>
      </c>
      <c r="E38" s="4"/>
      <c r="F38" s="4">
        <v>3</v>
      </c>
      <c r="G38" s="5">
        <v>3000</v>
      </c>
      <c r="H38" s="5"/>
      <c r="I38" s="44"/>
    </row>
    <row r="39" spans="1:9" x14ac:dyDescent="0.35">
      <c r="A39" s="4">
        <v>17</v>
      </c>
      <c r="B39" s="2" t="s">
        <v>30</v>
      </c>
      <c r="C39" s="3">
        <v>46279</v>
      </c>
      <c r="D39" s="4" t="s">
        <v>15</v>
      </c>
      <c r="E39" s="4"/>
      <c r="F39" s="4">
        <v>1</v>
      </c>
      <c r="G39" s="5">
        <v>8000</v>
      </c>
      <c r="H39" s="5"/>
      <c r="I39" s="44"/>
    </row>
    <row r="40" spans="1:9" x14ac:dyDescent="0.35">
      <c r="A40" s="4">
        <v>18</v>
      </c>
      <c r="B40" s="2" t="s">
        <v>31</v>
      </c>
      <c r="C40" s="3">
        <v>46280</v>
      </c>
      <c r="D40" s="4" t="s">
        <v>9</v>
      </c>
      <c r="E40" s="4"/>
      <c r="F40" s="4">
        <v>2</v>
      </c>
      <c r="G40" s="5">
        <v>5000</v>
      </c>
      <c r="H40" s="5"/>
      <c r="I40" s="44"/>
    </row>
    <row r="41" spans="1:9" x14ac:dyDescent="0.35">
      <c r="A41" s="4">
        <v>19</v>
      </c>
      <c r="B41" s="2" t="s">
        <v>32</v>
      </c>
      <c r="C41" s="3">
        <v>46280</v>
      </c>
      <c r="D41" s="4" t="s">
        <v>11</v>
      </c>
      <c r="E41" s="4"/>
      <c r="F41" s="4">
        <v>1</v>
      </c>
      <c r="G41" s="5">
        <v>50000</v>
      </c>
      <c r="H41" s="5"/>
      <c r="I41" s="44"/>
    </row>
    <row r="42" spans="1:9" x14ac:dyDescent="0.35">
      <c r="A42" s="4">
        <v>20</v>
      </c>
      <c r="B42" s="2" t="s">
        <v>33</v>
      </c>
      <c r="C42" s="2"/>
      <c r="D42" s="4" t="s">
        <v>13</v>
      </c>
      <c r="E42" s="4"/>
      <c r="F42" s="4">
        <v>4</v>
      </c>
      <c r="G42" s="5">
        <v>3000</v>
      </c>
      <c r="H42" s="5"/>
      <c r="I42" s="44"/>
    </row>
    <row r="43" spans="1:9" x14ac:dyDescent="0.35">
      <c r="A43" s="4">
        <v>21</v>
      </c>
      <c r="B43" s="2" t="s">
        <v>34</v>
      </c>
      <c r="C43" s="3">
        <v>46281</v>
      </c>
      <c r="D43" s="4" t="s">
        <v>9</v>
      </c>
      <c r="E43" s="4"/>
      <c r="F43" s="4">
        <v>3</v>
      </c>
      <c r="G43" s="5">
        <v>5000</v>
      </c>
      <c r="H43" s="5"/>
      <c r="I43" s="44"/>
    </row>
    <row r="44" spans="1:9" x14ac:dyDescent="0.35">
      <c r="A44" s="4">
        <v>22</v>
      </c>
      <c r="B44" s="2" t="s">
        <v>35</v>
      </c>
      <c r="C44" s="2"/>
      <c r="D44" s="4" t="s">
        <v>15</v>
      </c>
      <c r="E44" s="4"/>
      <c r="F44" s="4">
        <v>2</v>
      </c>
      <c r="G44" s="5">
        <v>8000</v>
      </c>
      <c r="H44" s="5"/>
      <c r="I44" s="44"/>
    </row>
    <row r="45" spans="1:9" x14ac:dyDescent="0.35">
      <c r="A45" s="4">
        <v>23</v>
      </c>
      <c r="B45" s="2" t="s">
        <v>36</v>
      </c>
      <c r="C45" s="3">
        <v>46282</v>
      </c>
      <c r="D45" s="4" t="s">
        <v>11</v>
      </c>
      <c r="E45" s="4"/>
      <c r="F45" s="4">
        <v>1</v>
      </c>
      <c r="G45" s="5">
        <v>50000</v>
      </c>
      <c r="H45" s="5"/>
      <c r="I45" s="44"/>
    </row>
    <row r="46" spans="1:9" x14ac:dyDescent="0.35">
      <c r="A46" s="4">
        <v>24</v>
      </c>
      <c r="B46" s="2" t="s">
        <v>37</v>
      </c>
      <c r="C46" s="2"/>
      <c r="D46" s="4" t="s">
        <v>13</v>
      </c>
      <c r="E46" s="4"/>
      <c r="F46" s="4">
        <v>5</v>
      </c>
      <c r="G46" s="5">
        <v>3000</v>
      </c>
      <c r="H46" s="5"/>
      <c r="I46" s="44"/>
    </row>
    <row r="47" spans="1:9" x14ac:dyDescent="0.35">
      <c r="A47" s="4">
        <v>25</v>
      </c>
      <c r="B47" s="2" t="s">
        <v>38</v>
      </c>
      <c r="C47" s="3">
        <v>46283</v>
      </c>
      <c r="D47" s="4" t="s">
        <v>9</v>
      </c>
      <c r="E47" s="4"/>
      <c r="F47" s="4">
        <v>2</v>
      </c>
      <c r="G47" s="5">
        <v>5000</v>
      </c>
      <c r="H47" s="5"/>
      <c r="I47" s="44"/>
    </row>
    <row r="48" spans="1:9" x14ac:dyDescent="0.35">
      <c r="A48" s="4">
        <v>26</v>
      </c>
      <c r="B48" s="2" t="s">
        <v>39</v>
      </c>
      <c r="C48" s="2"/>
      <c r="D48" s="4" t="s">
        <v>15</v>
      </c>
      <c r="E48" s="4"/>
      <c r="F48" s="4">
        <v>3</v>
      </c>
      <c r="G48" s="5">
        <v>8000</v>
      </c>
      <c r="H48" s="5"/>
      <c r="I48" s="44"/>
    </row>
    <row r="49" spans="1:9" x14ac:dyDescent="0.35">
      <c r="A49" s="4">
        <v>27</v>
      </c>
      <c r="B49" s="2" t="s">
        <v>40</v>
      </c>
      <c r="C49" s="3">
        <v>46284</v>
      </c>
      <c r="D49" s="4" t="s">
        <v>11</v>
      </c>
      <c r="E49" s="4"/>
      <c r="F49" s="4">
        <v>1</v>
      </c>
      <c r="G49" s="5">
        <v>50000</v>
      </c>
      <c r="H49" s="5"/>
      <c r="I49" s="44"/>
    </row>
    <row r="50" spans="1:9" x14ac:dyDescent="0.35">
      <c r="A50" s="4">
        <v>28</v>
      </c>
      <c r="B50" s="2" t="s">
        <v>41</v>
      </c>
      <c r="C50" s="3">
        <v>46285</v>
      </c>
      <c r="D50" s="4" t="s">
        <v>13</v>
      </c>
      <c r="E50" s="4"/>
      <c r="F50" s="4">
        <v>6</v>
      </c>
      <c r="G50" s="5">
        <v>3000</v>
      </c>
      <c r="H50" s="5"/>
      <c r="I50" s="44"/>
    </row>
    <row r="51" spans="1:9" x14ac:dyDescent="0.35">
      <c r="A51" s="4">
        <v>29</v>
      </c>
      <c r="B51" s="2" t="s">
        <v>42</v>
      </c>
      <c r="C51" s="3">
        <v>46285</v>
      </c>
      <c r="D51" s="4" t="s">
        <v>9</v>
      </c>
      <c r="E51" s="4"/>
      <c r="F51" s="4">
        <v>4</v>
      </c>
      <c r="G51" s="5">
        <v>5000</v>
      </c>
      <c r="H51" s="5"/>
      <c r="I51" s="44"/>
    </row>
    <row r="52" spans="1:9" x14ac:dyDescent="0.35">
      <c r="A52" s="4">
        <v>30</v>
      </c>
      <c r="B52" s="2" t="s">
        <v>43</v>
      </c>
      <c r="C52" s="2"/>
      <c r="D52" s="4" t="s">
        <v>15</v>
      </c>
      <c r="E52" s="4"/>
      <c r="F52" s="4">
        <v>1</v>
      </c>
      <c r="G52" s="5">
        <v>8000</v>
      </c>
      <c r="H52" s="5"/>
      <c r="I52" s="44"/>
    </row>
  </sheetData>
  <mergeCells count="9">
    <mergeCell ref="L2:L5"/>
    <mergeCell ref="A7:K7"/>
    <mergeCell ref="K22:L22"/>
    <mergeCell ref="H17:I17"/>
    <mergeCell ref="H18:I18"/>
    <mergeCell ref="H19:I19"/>
    <mergeCell ref="A17:G17"/>
    <mergeCell ref="A18:G18"/>
    <mergeCell ref="A19:G19"/>
  </mergeCells>
  <conditionalFormatting sqref="L2:L5">
    <cfRule type="cellIs" dxfId="26" priority="1" operator="between">
      <formula>70</formula>
      <formula>101</formula>
    </cfRule>
    <cfRule type="cellIs" dxfId="25" priority="2" operator="between">
      <formula>50</formula>
      <formula>70</formula>
    </cfRule>
    <cfRule type="cellIs" dxfId="24" priority="3" operator="between">
      <formula>1</formula>
      <formula>50</formula>
    </cfRule>
    <cfRule type="cellIs" dxfId="23" priority="4" operator="lessThan">
      <formula>101</formula>
    </cfRule>
    <cfRule type="cellIs" dxfId="22" priority="5" operator="lessThan">
      <formula>100</formula>
    </cfRule>
    <cfRule type="cellIs" dxfId="21" priority="6" operator="lessThan">
      <formula>70</formula>
    </cfRule>
    <cfRule type="cellIs" dxfId="20" priority="7" operator="lessThan">
      <formula>50</formula>
    </cfRule>
    <cfRule type="cellIs" dxfId="19" priority="8" operator="equal">
      <formula>40</formula>
    </cfRule>
    <cfRule type="cellIs" dxfId="18" priority="9" operator="equal">
      <formula>20</formula>
    </cfRule>
  </conditionalFormatting>
  <pageMargins left="0.7" right="0.7" top="0.75" bottom="0.75" header="0.3" footer="0.3"/>
  <pageSetup paperSize="9" scale="9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DB56-1C3C-48ED-A224-C6F3957E9255}">
  <dimension ref="A1:L72"/>
  <sheetViews>
    <sheetView zoomScale="70" zoomScaleNormal="70" workbookViewId="0">
      <selection activeCell="E23" sqref="E23"/>
    </sheetView>
  </sheetViews>
  <sheetFormatPr defaultRowHeight="13" x14ac:dyDescent="0.3"/>
  <cols>
    <col min="1" max="1" width="5" style="20" customWidth="1"/>
    <col min="2" max="2" width="11.54296875" style="20" customWidth="1"/>
    <col min="3" max="3" width="18.08984375" style="20" customWidth="1"/>
    <col min="4" max="4" width="13.36328125" style="20" customWidth="1"/>
    <col min="5" max="5" width="15.1796875" style="20" customWidth="1"/>
    <col min="6" max="6" width="6.7265625" style="20" bestFit="1" customWidth="1"/>
    <col min="7" max="7" width="14.6328125" style="20" bestFit="1" customWidth="1"/>
    <col min="8" max="8" width="14.6328125" style="20" customWidth="1"/>
    <col min="9" max="9" width="9.453125" style="20" bestFit="1" customWidth="1"/>
    <col min="10" max="10" width="4" style="20" customWidth="1"/>
    <col min="11" max="11" width="25" style="20" customWidth="1"/>
    <col min="12" max="12" width="22.36328125" style="20" bestFit="1" customWidth="1"/>
    <col min="13" max="16384" width="8.7265625" style="20"/>
  </cols>
  <sheetData>
    <row r="1" spans="1:12" ht="21" x14ac:dyDescent="0.3">
      <c r="L1" s="41" t="s">
        <v>174</v>
      </c>
    </row>
    <row r="2" spans="1:12" x14ac:dyDescent="0.3">
      <c r="L2" s="63">
        <f>(SUMPRODUCT(--_xlfn.ISFORMULA(E23:E72))+SUMPRODUCT(--_xlfn.ISFORMULA(H23:H72))+_xlfn.ISFORMULA(I23:I72)+_xlfn.ISFORMULA(L24:L29))/102*100</f>
        <v>0</v>
      </c>
    </row>
    <row r="3" spans="1:12" x14ac:dyDescent="0.3">
      <c r="L3" s="63"/>
    </row>
    <row r="4" spans="1:12" x14ac:dyDescent="0.3">
      <c r="L4" s="63"/>
    </row>
    <row r="5" spans="1:12" ht="13.5" thickBot="1" x14ac:dyDescent="0.35">
      <c r="L5" s="64"/>
    </row>
    <row r="7" spans="1:12" ht="26" x14ac:dyDescent="0.3">
      <c r="A7" s="65" t="s">
        <v>49</v>
      </c>
      <c r="B7" s="65"/>
      <c r="C7" s="65"/>
      <c r="D7" s="65"/>
      <c r="E7" s="65"/>
      <c r="F7" s="65"/>
      <c r="G7" s="65"/>
      <c r="H7" s="65"/>
      <c r="I7" s="65"/>
      <c r="J7" s="65"/>
      <c r="K7" s="65"/>
    </row>
    <row r="9" spans="1:12" x14ac:dyDescent="0.3">
      <c r="A9" s="13" t="s">
        <v>50</v>
      </c>
      <c r="B9" s="23"/>
      <c r="C9" s="24"/>
    </row>
    <row r="10" spans="1:12" x14ac:dyDescent="0.3">
      <c r="A10" s="19">
        <v>1</v>
      </c>
      <c r="B10" s="23" t="s">
        <v>170</v>
      </c>
      <c r="C10" s="24"/>
    </row>
    <row r="11" spans="1:12" x14ac:dyDescent="0.3">
      <c r="A11" s="19">
        <v>2</v>
      </c>
      <c r="B11" s="23" t="s">
        <v>171</v>
      </c>
      <c r="C11" s="24"/>
    </row>
    <row r="12" spans="1:12" x14ac:dyDescent="0.3">
      <c r="A12" s="19">
        <v>3</v>
      </c>
      <c r="B12" s="23" t="s">
        <v>71</v>
      </c>
      <c r="C12" s="24"/>
    </row>
    <row r="13" spans="1:12" x14ac:dyDescent="0.3">
      <c r="A13" s="15">
        <v>4</v>
      </c>
      <c r="B13" s="16" t="s">
        <v>189</v>
      </c>
      <c r="C13" s="24"/>
    </row>
    <row r="14" spans="1:12" x14ac:dyDescent="0.3">
      <c r="A14" s="15"/>
      <c r="B14" s="16" t="s">
        <v>190</v>
      </c>
      <c r="C14" s="24"/>
    </row>
    <row r="15" spans="1:12" ht="14.5" x14ac:dyDescent="0.35">
      <c r="A15" s="1"/>
      <c r="B15" s="16" t="s">
        <v>188</v>
      </c>
      <c r="C15" s="24"/>
    </row>
    <row r="17" spans="1:12" x14ac:dyDescent="0.3">
      <c r="A17" s="69" t="s">
        <v>68</v>
      </c>
      <c r="B17" s="69"/>
      <c r="C17" s="69"/>
      <c r="D17" s="69"/>
      <c r="E17" s="69"/>
      <c r="F17" s="69"/>
      <c r="G17" s="66">
        <v>45566</v>
      </c>
      <c r="H17" s="66"/>
    </row>
    <row r="18" spans="1:12" x14ac:dyDescent="0.3">
      <c r="A18" s="69" t="s">
        <v>69</v>
      </c>
      <c r="B18" s="69"/>
      <c r="C18" s="69"/>
      <c r="D18" s="69"/>
      <c r="E18" s="69"/>
      <c r="F18" s="69"/>
      <c r="G18" s="67">
        <v>45596</v>
      </c>
      <c r="H18" s="67"/>
    </row>
    <row r="19" spans="1:12" x14ac:dyDescent="0.3">
      <c r="A19" s="69" t="s">
        <v>70</v>
      </c>
      <c r="B19" s="69"/>
      <c r="C19" s="69"/>
      <c r="D19" s="69"/>
      <c r="E19" s="69"/>
      <c r="F19" s="69"/>
      <c r="G19" s="68" t="s">
        <v>67</v>
      </c>
      <c r="H19" s="68"/>
    </row>
    <row r="21" spans="1:12" ht="15.5" x14ac:dyDescent="0.3">
      <c r="A21" s="30" t="s">
        <v>66</v>
      </c>
    </row>
    <row r="22" spans="1:12" ht="29" x14ac:dyDescent="0.3">
      <c r="A22" s="34" t="s">
        <v>1</v>
      </c>
      <c r="B22" s="34" t="s">
        <v>2</v>
      </c>
      <c r="C22" s="34" t="s">
        <v>51</v>
      </c>
      <c r="D22" s="34" t="s">
        <v>52</v>
      </c>
      <c r="E22" s="34" t="s">
        <v>53</v>
      </c>
      <c r="F22" s="34" t="s">
        <v>5</v>
      </c>
      <c r="G22" s="34" t="s">
        <v>6</v>
      </c>
      <c r="H22" s="34" t="s">
        <v>54</v>
      </c>
      <c r="I22" s="47" t="s">
        <v>175</v>
      </c>
      <c r="K22" s="61" t="s">
        <v>182</v>
      </c>
      <c r="L22" s="62"/>
    </row>
    <row r="23" spans="1:12" ht="14.5" x14ac:dyDescent="0.3">
      <c r="A23" s="21">
        <v>1</v>
      </c>
      <c r="B23" s="22" t="s">
        <v>8</v>
      </c>
      <c r="C23" s="22" t="s">
        <v>55</v>
      </c>
      <c r="D23" s="22" t="s">
        <v>56</v>
      </c>
      <c r="E23" s="22"/>
      <c r="F23" s="21">
        <v>1</v>
      </c>
      <c r="G23" s="32">
        <v>2500000</v>
      </c>
      <c r="H23" s="29"/>
      <c r="I23" s="48"/>
      <c r="K23" s="43" t="s">
        <v>46</v>
      </c>
      <c r="L23" s="43" t="s">
        <v>47</v>
      </c>
    </row>
    <row r="24" spans="1:12" ht="14.5" x14ac:dyDescent="0.3">
      <c r="A24" s="21">
        <v>2</v>
      </c>
      <c r="B24" s="22" t="s">
        <v>10</v>
      </c>
      <c r="C24" s="22" t="s">
        <v>57</v>
      </c>
      <c r="D24" s="22" t="s">
        <v>11</v>
      </c>
      <c r="E24" s="22"/>
      <c r="F24" s="21">
        <v>3</v>
      </c>
      <c r="G24" s="27">
        <v>50000</v>
      </c>
      <c r="H24" s="29"/>
      <c r="I24" s="48"/>
      <c r="K24" s="2" t="s">
        <v>193</v>
      </c>
      <c r="L24" s="5"/>
    </row>
    <row r="25" spans="1:12" ht="14.5" x14ac:dyDescent="0.3">
      <c r="A25" s="21">
        <v>3</v>
      </c>
      <c r="B25" s="22" t="s">
        <v>12</v>
      </c>
      <c r="C25" s="22" t="s">
        <v>55</v>
      </c>
      <c r="D25" s="22" t="s">
        <v>58</v>
      </c>
      <c r="E25" s="22"/>
      <c r="F25" s="21">
        <v>2</v>
      </c>
      <c r="G25" s="27">
        <v>350000</v>
      </c>
      <c r="H25" s="29"/>
      <c r="I25" s="48"/>
      <c r="K25" s="2" t="s">
        <v>177</v>
      </c>
      <c r="L25" s="5"/>
    </row>
    <row r="26" spans="1:12" ht="14.5" x14ac:dyDescent="0.3">
      <c r="A26" s="21">
        <v>4</v>
      </c>
      <c r="B26" s="22" t="s">
        <v>14</v>
      </c>
      <c r="C26" s="22" t="s">
        <v>57</v>
      </c>
      <c r="D26" s="22" t="s">
        <v>59</v>
      </c>
      <c r="E26" s="22"/>
      <c r="F26" s="21">
        <v>1</v>
      </c>
      <c r="G26" s="27">
        <v>1200000</v>
      </c>
      <c r="H26" s="29"/>
      <c r="I26" s="48"/>
      <c r="K26" s="2" t="s">
        <v>178</v>
      </c>
      <c r="L26" s="5"/>
    </row>
    <row r="27" spans="1:12" ht="14.5" x14ac:dyDescent="0.3">
      <c r="A27" s="21">
        <v>5</v>
      </c>
      <c r="B27" s="22" t="s">
        <v>16</v>
      </c>
      <c r="C27" s="22" t="s">
        <v>55</v>
      </c>
      <c r="D27" s="22" t="s">
        <v>60</v>
      </c>
      <c r="E27" s="22"/>
      <c r="F27" s="21">
        <v>4</v>
      </c>
      <c r="G27" s="27">
        <v>750000</v>
      </c>
      <c r="H27" s="29"/>
      <c r="I27" s="48"/>
      <c r="K27" s="2" t="s">
        <v>179</v>
      </c>
      <c r="L27" s="2"/>
    </row>
    <row r="28" spans="1:12" ht="14.5" x14ac:dyDescent="0.3">
      <c r="A28" s="21">
        <v>6</v>
      </c>
      <c r="B28" s="22" t="s">
        <v>17</v>
      </c>
      <c r="C28" s="22" t="s">
        <v>55</v>
      </c>
      <c r="D28" s="22" t="s">
        <v>61</v>
      </c>
      <c r="E28" s="22"/>
      <c r="F28" s="21">
        <v>1</v>
      </c>
      <c r="G28" s="27">
        <v>8500000</v>
      </c>
      <c r="H28" s="29"/>
      <c r="I28" s="48"/>
      <c r="K28" s="2" t="s">
        <v>180</v>
      </c>
      <c r="L28" s="2"/>
    </row>
    <row r="29" spans="1:12" ht="14.5" x14ac:dyDescent="0.3">
      <c r="A29" s="21">
        <v>7</v>
      </c>
      <c r="B29" s="22" t="s">
        <v>18</v>
      </c>
      <c r="C29" s="22" t="s">
        <v>57</v>
      </c>
      <c r="D29" s="22" t="s">
        <v>62</v>
      </c>
      <c r="E29" s="22"/>
      <c r="F29" s="21">
        <v>2</v>
      </c>
      <c r="G29" s="27">
        <v>1500000</v>
      </c>
      <c r="H29" s="29"/>
      <c r="I29" s="48"/>
      <c r="K29" s="2" t="s">
        <v>181</v>
      </c>
      <c r="L29" s="2"/>
    </row>
    <row r="30" spans="1:12" x14ac:dyDescent="0.3">
      <c r="A30" s="21">
        <v>8</v>
      </c>
      <c r="B30" s="22" t="s">
        <v>19</v>
      </c>
      <c r="C30" s="22" t="s">
        <v>55</v>
      </c>
      <c r="D30" s="22" t="s">
        <v>63</v>
      </c>
      <c r="E30" s="22"/>
      <c r="F30" s="21">
        <v>2</v>
      </c>
      <c r="G30" s="27">
        <v>2000000</v>
      </c>
      <c r="H30" s="29"/>
      <c r="I30" s="48"/>
    </row>
    <row r="31" spans="1:12" x14ac:dyDescent="0.3">
      <c r="A31" s="21">
        <v>9</v>
      </c>
      <c r="B31" s="22" t="s">
        <v>20</v>
      </c>
      <c r="C31" s="22" t="s">
        <v>57</v>
      </c>
      <c r="D31" s="22" t="s">
        <v>64</v>
      </c>
      <c r="E31" s="22"/>
      <c r="F31" s="21">
        <v>5</v>
      </c>
      <c r="G31" s="27">
        <v>150000</v>
      </c>
      <c r="H31" s="29"/>
      <c r="I31" s="48"/>
    </row>
    <row r="32" spans="1:12" x14ac:dyDescent="0.3">
      <c r="A32" s="21">
        <v>10</v>
      </c>
      <c r="B32" s="22" t="s">
        <v>21</v>
      </c>
      <c r="C32" s="22" t="s">
        <v>55</v>
      </c>
      <c r="D32" s="22" t="s">
        <v>65</v>
      </c>
      <c r="E32" s="22"/>
      <c r="F32" s="21">
        <v>1</v>
      </c>
      <c r="G32" s="27">
        <v>5500000</v>
      </c>
      <c r="H32" s="29"/>
      <c r="I32" s="48"/>
    </row>
    <row r="33" spans="1:9" x14ac:dyDescent="0.3">
      <c r="A33" s="21">
        <v>11</v>
      </c>
      <c r="B33" s="26" t="s">
        <v>72</v>
      </c>
      <c r="C33" s="26" t="s">
        <v>55</v>
      </c>
      <c r="D33" s="26" t="s">
        <v>73</v>
      </c>
      <c r="E33" s="22"/>
      <c r="F33" s="28">
        <v>3</v>
      </c>
      <c r="G33" s="27">
        <v>250000</v>
      </c>
      <c r="H33" s="29"/>
      <c r="I33" s="48"/>
    </row>
    <row r="34" spans="1:9" x14ac:dyDescent="0.3">
      <c r="A34" s="21">
        <v>12</v>
      </c>
      <c r="B34" s="26" t="s">
        <v>74</v>
      </c>
      <c r="C34" s="26" t="s">
        <v>57</v>
      </c>
      <c r="D34" s="26" t="s">
        <v>75</v>
      </c>
      <c r="E34" s="22"/>
      <c r="F34" s="28">
        <v>5</v>
      </c>
      <c r="G34" s="27">
        <v>75000</v>
      </c>
      <c r="H34" s="29"/>
      <c r="I34" s="48"/>
    </row>
    <row r="35" spans="1:9" x14ac:dyDescent="0.3">
      <c r="A35" s="21">
        <v>13</v>
      </c>
      <c r="B35" s="26" t="s">
        <v>76</v>
      </c>
      <c r="C35" s="26" t="s">
        <v>55</v>
      </c>
      <c r="D35" s="26" t="s">
        <v>77</v>
      </c>
      <c r="E35" s="22"/>
      <c r="F35" s="28">
        <v>1</v>
      </c>
      <c r="G35" s="27">
        <v>3200000</v>
      </c>
      <c r="H35" s="29"/>
      <c r="I35" s="48"/>
    </row>
    <row r="36" spans="1:9" x14ac:dyDescent="0.3">
      <c r="A36" s="21">
        <v>14</v>
      </c>
      <c r="B36" s="26" t="s">
        <v>27</v>
      </c>
      <c r="C36" s="26" t="s">
        <v>57</v>
      </c>
      <c r="D36" s="26" t="s">
        <v>78</v>
      </c>
      <c r="E36" s="22"/>
      <c r="F36" s="28">
        <v>1</v>
      </c>
      <c r="G36" s="27">
        <v>4500000</v>
      </c>
      <c r="H36" s="29"/>
      <c r="I36" s="48"/>
    </row>
    <row r="37" spans="1:9" x14ac:dyDescent="0.3">
      <c r="A37" s="21">
        <v>15</v>
      </c>
      <c r="B37" s="26" t="s">
        <v>28</v>
      </c>
      <c r="C37" s="26" t="s">
        <v>55</v>
      </c>
      <c r="D37" s="26" t="s">
        <v>79</v>
      </c>
      <c r="E37" s="22"/>
      <c r="F37" s="28">
        <v>2</v>
      </c>
      <c r="G37" s="27">
        <v>1200000</v>
      </c>
      <c r="H37" s="29"/>
      <c r="I37" s="48"/>
    </row>
    <row r="38" spans="1:9" x14ac:dyDescent="0.3">
      <c r="A38" s="21">
        <v>16</v>
      </c>
      <c r="B38" s="26" t="s">
        <v>29</v>
      </c>
      <c r="C38" s="26" t="s">
        <v>55</v>
      </c>
      <c r="D38" s="26" t="s">
        <v>80</v>
      </c>
      <c r="E38" s="22"/>
      <c r="F38" s="28">
        <v>6</v>
      </c>
      <c r="G38" s="27">
        <v>90000</v>
      </c>
      <c r="H38" s="29"/>
      <c r="I38" s="48"/>
    </row>
    <row r="39" spans="1:9" x14ac:dyDescent="0.3">
      <c r="A39" s="21">
        <v>17</v>
      </c>
      <c r="B39" s="26" t="s">
        <v>81</v>
      </c>
      <c r="C39" s="26" t="s">
        <v>57</v>
      </c>
      <c r="D39" s="26" t="s">
        <v>82</v>
      </c>
      <c r="E39" s="22"/>
      <c r="F39" s="28">
        <v>4</v>
      </c>
      <c r="G39" s="27">
        <v>85000</v>
      </c>
      <c r="H39" s="29"/>
      <c r="I39" s="48"/>
    </row>
    <row r="40" spans="1:9" x14ac:dyDescent="0.3">
      <c r="A40" s="21">
        <v>18</v>
      </c>
      <c r="B40" s="26" t="s">
        <v>83</v>
      </c>
      <c r="C40" s="26" t="s">
        <v>55</v>
      </c>
      <c r="D40" s="26" t="s">
        <v>84</v>
      </c>
      <c r="E40" s="22"/>
      <c r="F40" s="28">
        <v>1</v>
      </c>
      <c r="G40" s="27">
        <v>1800000</v>
      </c>
      <c r="H40" s="29"/>
      <c r="I40" s="48"/>
    </row>
    <row r="41" spans="1:9" x14ac:dyDescent="0.3">
      <c r="A41" s="21">
        <v>19</v>
      </c>
      <c r="B41" s="26" t="s">
        <v>31</v>
      </c>
      <c r="C41" s="26" t="s">
        <v>57</v>
      </c>
      <c r="D41" s="26" t="s">
        <v>85</v>
      </c>
      <c r="E41" s="22"/>
      <c r="F41" s="28">
        <v>3</v>
      </c>
      <c r="G41" s="27">
        <v>350000</v>
      </c>
      <c r="H41" s="29"/>
      <c r="I41" s="48"/>
    </row>
    <row r="42" spans="1:9" x14ac:dyDescent="0.3">
      <c r="A42" s="21">
        <v>20</v>
      </c>
      <c r="B42" s="26" t="s">
        <v>32</v>
      </c>
      <c r="C42" s="26" t="s">
        <v>55</v>
      </c>
      <c r="D42" s="26" t="s">
        <v>86</v>
      </c>
      <c r="E42" s="22"/>
      <c r="F42" s="28">
        <v>1</v>
      </c>
      <c r="G42" s="27">
        <v>2200000</v>
      </c>
      <c r="H42" s="29"/>
      <c r="I42" s="48"/>
    </row>
    <row r="43" spans="1:9" x14ac:dyDescent="0.3">
      <c r="A43" s="21">
        <v>21</v>
      </c>
      <c r="B43" s="26" t="s">
        <v>87</v>
      </c>
      <c r="C43" s="26" t="s">
        <v>55</v>
      </c>
      <c r="D43" s="26" t="s">
        <v>88</v>
      </c>
      <c r="E43" s="22"/>
      <c r="F43" s="28">
        <v>1</v>
      </c>
      <c r="G43" s="27">
        <v>2750000</v>
      </c>
      <c r="H43" s="29"/>
      <c r="I43" s="48"/>
    </row>
    <row r="44" spans="1:9" x14ac:dyDescent="0.3">
      <c r="A44" s="21">
        <v>22</v>
      </c>
      <c r="B44" s="26" t="s">
        <v>34</v>
      </c>
      <c r="C44" s="26" t="s">
        <v>57</v>
      </c>
      <c r="D44" s="26" t="s">
        <v>89</v>
      </c>
      <c r="E44" s="22"/>
      <c r="F44" s="28">
        <v>2</v>
      </c>
      <c r="G44" s="27">
        <v>450000</v>
      </c>
      <c r="H44" s="29"/>
      <c r="I44" s="48"/>
    </row>
    <row r="45" spans="1:9" x14ac:dyDescent="0.3">
      <c r="A45" s="21">
        <v>23</v>
      </c>
      <c r="B45" s="26" t="s">
        <v>90</v>
      </c>
      <c r="C45" s="26" t="s">
        <v>55</v>
      </c>
      <c r="D45" s="26" t="s">
        <v>91</v>
      </c>
      <c r="E45" s="22"/>
      <c r="F45" s="28">
        <v>1</v>
      </c>
      <c r="G45" s="27">
        <v>7200000</v>
      </c>
      <c r="H45" s="29"/>
      <c r="I45" s="48"/>
    </row>
    <row r="46" spans="1:9" x14ac:dyDescent="0.3">
      <c r="A46" s="21">
        <v>24</v>
      </c>
      <c r="B46" s="26" t="s">
        <v>92</v>
      </c>
      <c r="C46" s="26" t="s">
        <v>57</v>
      </c>
      <c r="D46" s="26" t="s">
        <v>93</v>
      </c>
      <c r="E46" s="22"/>
      <c r="F46" s="28">
        <v>2</v>
      </c>
      <c r="G46" s="27">
        <v>1850000</v>
      </c>
      <c r="H46" s="29"/>
      <c r="I46" s="48"/>
    </row>
    <row r="47" spans="1:9" x14ac:dyDescent="0.3">
      <c r="A47" s="21">
        <v>25</v>
      </c>
      <c r="B47" s="26" t="s">
        <v>94</v>
      </c>
      <c r="C47" s="26" t="s">
        <v>55</v>
      </c>
      <c r="D47" s="26" t="s">
        <v>95</v>
      </c>
      <c r="E47" s="22"/>
      <c r="F47" s="28">
        <v>5</v>
      </c>
      <c r="G47" s="27">
        <v>35000</v>
      </c>
      <c r="H47" s="29"/>
      <c r="I47" s="48"/>
    </row>
    <row r="48" spans="1:9" x14ac:dyDescent="0.3">
      <c r="A48" s="21">
        <v>26</v>
      </c>
      <c r="B48" s="26" t="s">
        <v>38</v>
      </c>
      <c r="C48" s="26" t="s">
        <v>55</v>
      </c>
      <c r="D48" s="26" t="s">
        <v>96</v>
      </c>
      <c r="E48" s="22"/>
      <c r="F48" s="28">
        <v>1</v>
      </c>
      <c r="G48" s="27">
        <v>6800000</v>
      </c>
      <c r="H48" s="29"/>
      <c r="I48" s="48"/>
    </row>
    <row r="49" spans="1:9" x14ac:dyDescent="0.3">
      <c r="A49" s="21">
        <v>27</v>
      </c>
      <c r="B49" s="26" t="s">
        <v>39</v>
      </c>
      <c r="C49" s="26" t="s">
        <v>57</v>
      </c>
      <c r="D49" s="26" t="s">
        <v>97</v>
      </c>
      <c r="E49" s="22"/>
      <c r="F49" s="28">
        <v>2</v>
      </c>
      <c r="G49" s="27">
        <v>420000</v>
      </c>
      <c r="H49" s="29"/>
      <c r="I49" s="48"/>
    </row>
    <row r="50" spans="1:9" x14ac:dyDescent="0.3">
      <c r="A50" s="21">
        <v>28</v>
      </c>
      <c r="B50" s="26" t="s">
        <v>98</v>
      </c>
      <c r="C50" s="26" t="s">
        <v>55</v>
      </c>
      <c r="D50" s="26" t="s">
        <v>99</v>
      </c>
      <c r="E50" s="22"/>
      <c r="F50" s="28">
        <v>1</v>
      </c>
      <c r="G50" s="27">
        <v>2950000</v>
      </c>
      <c r="H50" s="29"/>
      <c r="I50" s="48"/>
    </row>
    <row r="51" spans="1:9" x14ac:dyDescent="0.3">
      <c r="A51" s="21">
        <v>29</v>
      </c>
      <c r="B51" s="26" t="s">
        <v>41</v>
      </c>
      <c r="C51" s="26" t="s">
        <v>57</v>
      </c>
      <c r="D51" s="26" t="s">
        <v>100</v>
      </c>
      <c r="E51" s="22"/>
      <c r="F51" s="28">
        <v>3</v>
      </c>
      <c r="G51" s="27">
        <v>650000</v>
      </c>
      <c r="H51" s="29"/>
      <c r="I51" s="48"/>
    </row>
    <row r="52" spans="1:9" x14ac:dyDescent="0.3">
      <c r="A52" s="21">
        <v>30</v>
      </c>
      <c r="B52" s="26" t="s">
        <v>42</v>
      </c>
      <c r="C52" s="26" t="s">
        <v>55</v>
      </c>
      <c r="D52" s="26" t="s">
        <v>101</v>
      </c>
      <c r="E52" s="22"/>
      <c r="F52" s="28">
        <v>2</v>
      </c>
      <c r="G52" s="27">
        <v>3200000</v>
      </c>
      <c r="H52" s="29"/>
      <c r="I52" s="48"/>
    </row>
    <row r="53" spans="1:9" x14ac:dyDescent="0.3">
      <c r="A53" s="21">
        <v>31</v>
      </c>
      <c r="B53" s="26" t="s">
        <v>43</v>
      </c>
      <c r="C53" s="26" t="s">
        <v>55</v>
      </c>
      <c r="D53" s="26" t="s">
        <v>102</v>
      </c>
      <c r="E53" s="22"/>
      <c r="F53" s="28">
        <v>2</v>
      </c>
      <c r="G53" s="27">
        <v>2100000</v>
      </c>
      <c r="H53" s="29"/>
      <c r="I53" s="48"/>
    </row>
    <row r="54" spans="1:9" x14ac:dyDescent="0.3">
      <c r="A54" s="21">
        <v>32</v>
      </c>
      <c r="B54" s="26" t="s">
        <v>103</v>
      </c>
      <c r="C54" s="26" t="s">
        <v>57</v>
      </c>
      <c r="D54" s="26" t="s">
        <v>104</v>
      </c>
      <c r="E54" s="22"/>
      <c r="F54" s="28">
        <v>6</v>
      </c>
      <c r="G54" s="27">
        <v>275000</v>
      </c>
      <c r="H54" s="29"/>
      <c r="I54" s="48"/>
    </row>
    <row r="55" spans="1:9" x14ac:dyDescent="0.3">
      <c r="A55" s="21">
        <v>33</v>
      </c>
      <c r="B55" s="26" t="s">
        <v>105</v>
      </c>
      <c r="C55" s="26" t="s">
        <v>55</v>
      </c>
      <c r="D55" s="26" t="s">
        <v>106</v>
      </c>
      <c r="E55" s="22"/>
      <c r="F55" s="28">
        <v>3</v>
      </c>
      <c r="G55" s="27">
        <v>350000</v>
      </c>
      <c r="H55" s="29"/>
      <c r="I55" s="48"/>
    </row>
    <row r="56" spans="1:9" x14ac:dyDescent="0.3">
      <c r="A56" s="21">
        <v>34</v>
      </c>
      <c r="B56" s="26" t="s">
        <v>107</v>
      </c>
      <c r="C56" s="26" t="s">
        <v>57</v>
      </c>
      <c r="D56" s="26" t="s">
        <v>108</v>
      </c>
      <c r="E56" s="22"/>
      <c r="F56" s="28">
        <v>1</v>
      </c>
      <c r="G56" s="27">
        <v>2400000</v>
      </c>
      <c r="H56" s="29"/>
      <c r="I56" s="48"/>
    </row>
    <row r="57" spans="1:9" x14ac:dyDescent="0.3">
      <c r="A57" s="21">
        <v>35</v>
      </c>
      <c r="B57" s="26" t="s">
        <v>109</v>
      </c>
      <c r="C57" s="26" t="s">
        <v>55</v>
      </c>
      <c r="D57" s="26" t="s">
        <v>110</v>
      </c>
      <c r="E57" s="22"/>
      <c r="F57" s="28">
        <v>4</v>
      </c>
      <c r="G57" s="27">
        <v>180000</v>
      </c>
      <c r="H57" s="29"/>
      <c r="I57" s="48"/>
    </row>
    <row r="58" spans="1:9" x14ac:dyDescent="0.3">
      <c r="A58" s="21">
        <v>36</v>
      </c>
      <c r="B58" s="26" t="s">
        <v>24</v>
      </c>
      <c r="C58" s="26" t="s">
        <v>55</v>
      </c>
      <c r="D58" s="26" t="s">
        <v>111</v>
      </c>
      <c r="E58" s="22"/>
      <c r="F58" s="28">
        <v>2</v>
      </c>
      <c r="G58" s="27">
        <v>1250000</v>
      </c>
      <c r="H58" s="29"/>
      <c r="I58" s="48"/>
    </row>
    <row r="59" spans="1:9" x14ac:dyDescent="0.3">
      <c r="A59" s="21">
        <v>37</v>
      </c>
      <c r="B59" s="26" t="s">
        <v>25</v>
      </c>
      <c r="C59" s="26" t="s">
        <v>57</v>
      </c>
      <c r="D59" s="26" t="s">
        <v>112</v>
      </c>
      <c r="E59" s="22"/>
      <c r="F59" s="28">
        <v>1</v>
      </c>
      <c r="G59" s="27">
        <v>1950000</v>
      </c>
      <c r="H59" s="29"/>
      <c r="I59" s="48"/>
    </row>
    <row r="60" spans="1:9" x14ac:dyDescent="0.3">
      <c r="A60" s="21">
        <v>38</v>
      </c>
      <c r="B60" s="26" t="s">
        <v>26</v>
      </c>
      <c r="C60" s="26" t="s">
        <v>55</v>
      </c>
      <c r="D60" s="26" t="s">
        <v>113</v>
      </c>
      <c r="E60" s="22"/>
      <c r="F60" s="28">
        <v>4</v>
      </c>
      <c r="G60" s="27">
        <v>850000</v>
      </c>
      <c r="H60" s="29"/>
      <c r="I60" s="48"/>
    </row>
    <row r="61" spans="1:9" x14ac:dyDescent="0.3">
      <c r="A61" s="21">
        <v>39</v>
      </c>
      <c r="B61" s="26" t="s">
        <v>114</v>
      </c>
      <c r="C61" s="26" t="s">
        <v>57</v>
      </c>
      <c r="D61" s="26" t="s">
        <v>115</v>
      </c>
      <c r="E61" s="22"/>
      <c r="F61" s="28">
        <v>2</v>
      </c>
      <c r="G61" s="27">
        <v>950000</v>
      </c>
      <c r="H61" s="29"/>
      <c r="I61" s="48"/>
    </row>
    <row r="62" spans="1:9" x14ac:dyDescent="0.3">
      <c r="A62" s="21">
        <v>40</v>
      </c>
      <c r="B62" s="26" t="s">
        <v>116</v>
      </c>
      <c r="C62" s="26" t="s">
        <v>55</v>
      </c>
      <c r="D62" s="26" t="s">
        <v>117</v>
      </c>
      <c r="E62" s="22"/>
      <c r="F62" s="28">
        <v>3</v>
      </c>
      <c r="G62" s="27">
        <v>1250000</v>
      </c>
      <c r="H62" s="29"/>
      <c r="I62" s="48"/>
    </row>
    <row r="63" spans="1:9" x14ac:dyDescent="0.3">
      <c r="A63" s="21">
        <v>41</v>
      </c>
      <c r="B63" s="26" t="s">
        <v>118</v>
      </c>
      <c r="C63" s="26" t="s">
        <v>55</v>
      </c>
      <c r="D63" s="26" t="s">
        <v>119</v>
      </c>
      <c r="E63" s="22"/>
      <c r="F63" s="28">
        <v>2</v>
      </c>
      <c r="G63" s="27">
        <v>1350000</v>
      </c>
      <c r="H63" s="29"/>
      <c r="I63" s="48"/>
    </row>
    <row r="64" spans="1:9" x14ac:dyDescent="0.3">
      <c r="A64" s="21">
        <v>42</v>
      </c>
      <c r="B64" s="26" t="s">
        <v>120</v>
      </c>
      <c r="C64" s="26" t="s">
        <v>57</v>
      </c>
      <c r="D64" s="26" t="s">
        <v>121</v>
      </c>
      <c r="E64" s="22"/>
      <c r="F64" s="28">
        <v>1</v>
      </c>
      <c r="G64" s="27">
        <v>980000</v>
      </c>
      <c r="H64" s="29"/>
      <c r="I64" s="48"/>
    </row>
    <row r="65" spans="1:9" x14ac:dyDescent="0.3">
      <c r="A65" s="21">
        <v>43</v>
      </c>
      <c r="B65" s="26" t="s">
        <v>122</v>
      </c>
      <c r="C65" s="26" t="s">
        <v>55</v>
      </c>
      <c r="D65" s="26" t="s">
        <v>123</v>
      </c>
      <c r="E65" s="22"/>
      <c r="F65" s="28">
        <v>1</v>
      </c>
      <c r="G65" s="27">
        <v>2600000</v>
      </c>
      <c r="H65" s="29"/>
      <c r="I65" s="48"/>
    </row>
    <row r="66" spans="1:9" x14ac:dyDescent="0.3">
      <c r="A66" s="21">
        <v>44</v>
      </c>
      <c r="B66" s="26" t="s">
        <v>124</v>
      </c>
      <c r="C66" s="26" t="s">
        <v>57</v>
      </c>
      <c r="D66" s="26" t="s">
        <v>125</v>
      </c>
      <c r="E66" s="22"/>
      <c r="F66" s="28">
        <v>2</v>
      </c>
      <c r="G66" s="27">
        <v>475000</v>
      </c>
      <c r="H66" s="29"/>
      <c r="I66" s="48"/>
    </row>
    <row r="67" spans="1:9" x14ac:dyDescent="0.3">
      <c r="A67" s="21">
        <v>45</v>
      </c>
      <c r="B67" s="26" t="s">
        <v>126</v>
      </c>
      <c r="C67" s="26" t="s">
        <v>55</v>
      </c>
      <c r="D67" s="26" t="s">
        <v>127</v>
      </c>
      <c r="E67" s="22"/>
      <c r="F67" s="28">
        <v>10</v>
      </c>
      <c r="G67" s="27">
        <v>45000</v>
      </c>
      <c r="H67" s="29"/>
      <c r="I67" s="48"/>
    </row>
    <row r="68" spans="1:9" x14ac:dyDescent="0.3">
      <c r="A68" s="21">
        <v>46</v>
      </c>
      <c r="B68" s="26" t="s">
        <v>33</v>
      </c>
      <c r="C68" s="26" t="s">
        <v>55</v>
      </c>
      <c r="D68" s="26" t="s">
        <v>128</v>
      </c>
      <c r="E68" s="22"/>
      <c r="F68" s="28">
        <v>1</v>
      </c>
      <c r="G68" s="27">
        <v>3250000</v>
      </c>
      <c r="H68" s="29"/>
      <c r="I68" s="48"/>
    </row>
    <row r="69" spans="1:9" x14ac:dyDescent="0.3">
      <c r="A69" s="21">
        <v>47</v>
      </c>
      <c r="B69" s="26" t="s">
        <v>129</v>
      </c>
      <c r="C69" s="26" t="s">
        <v>57</v>
      </c>
      <c r="D69" s="26" t="s">
        <v>130</v>
      </c>
      <c r="E69" s="22"/>
      <c r="F69" s="28">
        <v>1</v>
      </c>
      <c r="G69" s="27">
        <v>2850000</v>
      </c>
      <c r="H69" s="29"/>
      <c r="I69" s="48"/>
    </row>
    <row r="70" spans="1:9" x14ac:dyDescent="0.3">
      <c r="A70" s="21">
        <v>48</v>
      </c>
      <c r="B70" s="26" t="s">
        <v>131</v>
      </c>
      <c r="C70" s="26" t="s">
        <v>55</v>
      </c>
      <c r="D70" s="26" t="s">
        <v>132</v>
      </c>
      <c r="E70" s="22"/>
      <c r="F70" s="28">
        <v>3</v>
      </c>
      <c r="G70" s="27">
        <v>650000</v>
      </c>
      <c r="H70" s="29"/>
      <c r="I70" s="48"/>
    </row>
    <row r="71" spans="1:9" x14ac:dyDescent="0.3">
      <c r="A71" s="21">
        <v>49</v>
      </c>
      <c r="B71" s="26" t="s">
        <v>133</v>
      </c>
      <c r="C71" s="26" t="s">
        <v>57</v>
      </c>
      <c r="D71" s="26" t="s">
        <v>134</v>
      </c>
      <c r="E71" s="22"/>
      <c r="F71" s="28">
        <v>4</v>
      </c>
      <c r="G71" s="27">
        <v>175000</v>
      </c>
      <c r="H71" s="29"/>
      <c r="I71" s="48"/>
    </row>
    <row r="72" spans="1:9" x14ac:dyDescent="0.3">
      <c r="A72" s="21">
        <v>50</v>
      </c>
      <c r="B72" s="26" t="s">
        <v>37</v>
      </c>
      <c r="C72" s="26" t="s">
        <v>55</v>
      </c>
      <c r="D72" s="26" t="s">
        <v>135</v>
      </c>
      <c r="E72" s="22"/>
      <c r="F72" s="28">
        <v>2</v>
      </c>
      <c r="G72" s="27">
        <v>1250000</v>
      </c>
      <c r="H72" s="29"/>
      <c r="I72" s="48"/>
    </row>
  </sheetData>
  <mergeCells count="9">
    <mergeCell ref="K22:L22"/>
    <mergeCell ref="L2:L5"/>
    <mergeCell ref="A7:K7"/>
    <mergeCell ref="G17:H17"/>
    <mergeCell ref="G18:H18"/>
    <mergeCell ref="G19:H19"/>
    <mergeCell ref="A17:F17"/>
    <mergeCell ref="A18:F18"/>
    <mergeCell ref="A19:F19"/>
  </mergeCells>
  <conditionalFormatting sqref="L2:L5">
    <cfRule type="cellIs" dxfId="17" priority="1" operator="between">
      <formula>70</formula>
      <formula>101</formula>
    </cfRule>
    <cfRule type="cellIs" dxfId="16" priority="2" operator="between">
      <formula>50</formula>
      <formula>70</formula>
    </cfRule>
    <cfRule type="cellIs" dxfId="15" priority="3" operator="between">
      <formula>1</formula>
      <formula>50</formula>
    </cfRule>
    <cfRule type="cellIs" dxfId="14" priority="4" operator="lessThan">
      <formula>101</formula>
    </cfRule>
    <cfRule type="cellIs" dxfId="13" priority="5" operator="lessThan">
      <formula>100</formula>
    </cfRule>
    <cfRule type="cellIs" dxfId="12" priority="6" operator="lessThan">
      <formula>70</formula>
    </cfRule>
    <cfRule type="cellIs" dxfId="11" priority="7" operator="lessThan">
      <formula>50</formula>
    </cfRule>
    <cfRule type="cellIs" dxfId="10" priority="8" operator="equal">
      <formula>40</formula>
    </cfRule>
    <cfRule type="cellIs" dxfId="9" priority="9" operator="equal">
      <formula>20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98E5-46E4-4628-92C4-9D22E733B9DE}">
  <dimension ref="A1:K72"/>
  <sheetViews>
    <sheetView zoomScale="78" workbookViewId="0">
      <selection activeCell="E23" sqref="E23"/>
    </sheetView>
  </sheetViews>
  <sheetFormatPr defaultRowHeight="14.5" x14ac:dyDescent="0.35"/>
  <cols>
    <col min="1" max="1" width="5.08984375" style="1" customWidth="1"/>
    <col min="2" max="2" width="13" customWidth="1"/>
    <col min="3" max="3" width="14.26953125" customWidth="1"/>
    <col min="4" max="4" width="13.08984375" bestFit="1" customWidth="1"/>
    <col min="5" max="5" width="12.453125" customWidth="1"/>
    <col min="6" max="6" width="13.26953125" style="6" customWidth="1"/>
    <col min="7" max="7" width="12.7265625" customWidth="1"/>
    <col min="8" max="8" width="3.54296875" customWidth="1"/>
    <col min="9" max="9" width="24.81640625" bestFit="1" customWidth="1"/>
    <col min="10" max="10" width="17" customWidth="1"/>
  </cols>
  <sheetData>
    <row r="1" spans="1:11" ht="21" x14ac:dyDescent="0.35">
      <c r="F1"/>
      <c r="J1" s="41" t="s">
        <v>174</v>
      </c>
    </row>
    <row r="2" spans="1:11" x14ac:dyDescent="0.35">
      <c r="F2"/>
      <c r="J2" s="63">
        <f>(SUMPRODUCT(--_xlfn.ISFORMULA(E23:E72))+SUMPRODUCT(--_xlfn.ISFORMULA(F23:F72))+_xlfn.ISFORMULA(G23:G72)+_xlfn.ISFORMULA(J24:J29))/102*100</f>
        <v>0</v>
      </c>
    </row>
    <row r="3" spans="1:11" x14ac:dyDescent="0.35">
      <c r="F3"/>
      <c r="J3" s="63"/>
    </row>
    <row r="4" spans="1:11" x14ac:dyDescent="0.35">
      <c r="F4"/>
      <c r="J4" s="63"/>
    </row>
    <row r="5" spans="1:11" ht="15" thickBot="1" x14ac:dyDescent="0.4">
      <c r="F5"/>
      <c r="J5" s="64"/>
    </row>
    <row r="6" spans="1:11" x14ac:dyDescent="0.35">
      <c r="F6"/>
    </row>
    <row r="7" spans="1:11" ht="26" x14ac:dyDescent="0.35">
      <c r="A7" s="65" t="s">
        <v>166</v>
      </c>
      <c r="B7" s="65"/>
      <c r="C7" s="65"/>
      <c r="D7" s="65"/>
      <c r="E7" s="65"/>
      <c r="F7" s="65"/>
      <c r="G7" s="65"/>
      <c r="H7" s="65"/>
      <c r="I7" s="65"/>
      <c r="J7" s="31"/>
      <c r="K7" s="31"/>
    </row>
    <row r="8" spans="1:11" x14ac:dyDescent="0.3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x14ac:dyDescent="0.35">
      <c r="A9" s="13" t="s">
        <v>50</v>
      </c>
      <c r="B9" s="23"/>
      <c r="C9" s="24"/>
      <c r="D9" s="20"/>
      <c r="E9" s="20"/>
      <c r="F9" s="20"/>
      <c r="G9" s="20"/>
      <c r="H9" s="20"/>
      <c r="I9" s="20"/>
      <c r="J9" s="20"/>
      <c r="K9" s="20"/>
    </row>
    <row r="10" spans="1:11" x14ac:dyDescent="0.35">
      <c r="A10" s="19">
        <v>1</v>
      </c>
      <c r="B10" s="23" t="s">
        <v>172</v>
      </c>
      <c r="C10" s="24"/>
      <c r="D10" s="20"/>
      <c r="E10" s="20"/>
      <c r="F10" s="20"/>
      <c r="G10" s="20"/>
      <c r="H10" s="20"/>
      <c r="I10" s="20"/>
      <c r="J10" s="20"/>
      <c r="K10" s="20"/>
    </row>
    <row r="11" spans="1:11" x14ac:dyDescent="0.35">
      <c r="A11" s="19">
        <v>2</v>
      </c>
      <c r="B11" s="23" t="s">
        <v>173</v>
      </c>
      <c r="C11" s="24"/>
      <c r="D11" s="20"/>
      <c r="E11" s="20"/>
      <c r="F11" s="20"/>
      <c r="G11" s="20"/>
      <c r="H11" s="20"/>
      <c r="I11" s="20"/>
      <c r="J11" s="20"/>
      <c r="K11" s="20"/>
    </row>
    <row r="12" spans="1:11" x14ac:dyDescent="0.35">
      <c r="A12" s="19">
        <v>3</v>
      </c>
      <c r="B12" s="23" t="s">
        <v>167</v>
      </c>
      <c r="C12" s="24"/>
      <c r="D12" s="20"/>
      <c r="E12" s="20"/>
      <c r="F12" s="20"/>
      <c r="G12" s="20"/>
      <c r="H12" s="20"/>
      <c r="I12" s="20"/>
      <c r="J12" s="20"/>
      <c r="K12" s="20"/>
    </row>
    <row r="13" spans="1:11" x14ac:dyDescent="0.35">
      <c r="A13" s="15">
        <v>4</v>
      </c>
      <c r="B13" s="16" t="s">
        <v>191</v>
      </c>
      <c r="C13" s="24"/>
      <c r="D13" s="20"/>
      <c r="E13" s="20"/>
      <c r="F13" s="20"/>
      <c r="G13" s="20"/>
      <c r="H13" s="20"/>
      <c r="I13" s="20"/>
      <c r="J13" s="20"/>
      <c r="K13" s="20"/>
    </row>
    <row r="14" spans="1:11" x14ac:dyDescent="0.35">
      <c r="A14" s="15"/>
      <c r="B14" s="16" t="s">
        <v>192</v>
      </c>
      <c r="C14" s="24"/>
      <c r="D14" s="20"/>
      <c r="E14" s="20"/>
      <c r="F14" s="20"/>
      <c r="G14" s="20"/>
      <c r="H14" s="20"/>
      <c r="I14" s="20"/>
      <c r="J14" s="20"/>
      <c r="K14" s="20"/>
    </row>
    <row r="15" spans="1:11" x14ac:dyDescent="0.35">
      <c r="B15" s="16" t="s">
        <v>188</v>
      </c>
      <c r="C15" s="24"/>
      <c r="D15" s="20"/>
      <c r="E15" s="20"/>
      <c r="F15" s="20"/>
      <c r="G15" s="20"/>
      <c r="H15" s="20"/>
      <c r="I15" s="20"/>
      <c r="J15" s="20"/>
      <c r="K15" s="20"/>
    </row>
    <row r="16" spans="1:11" x14ac:dyDescent="0.35">
      <c r="F16"/>
    </row>
    <row r="17" spans="1:10" x14ac:dyDescent="0.35">
      <c r="A17" s="72" t="s">
        <v>68</v>
      </c>
      <c r="B17" s="73"/>
      <c r="C17" s="73"/>
      <c r="D17" s="74"/>
      <c r="E17" s="75">
        <v>45627</v>
      </c>
      <c r="F17" s="76"/>
      <c r="H17" s="37"/>
    </row>
    <row r="18" spans="1:10" x14ac:dyDescent="0.35">
      <c r="A18" s="72" t="s">
        <v>69</v>
      </c>
      <c r="B18" s="73"/>
      <c r="C18" s="73"/>
      <c r="D18" s="74"/>
      <c r="E18" s="77">
        <v>45657</v>
      </c>
      <c r="F18" s="78"/>
      <c r="H18" s="38"/>
    </row>
    <row r="19" spans="1:10" x14ac:dyDescent="0.35">
      <c r="A19" s="72" t="s">
        <v>70</v>
      </c>
      <c r="B19" s="73"/>
      <c r="C19" s="73"/>
      <c r="D19" s="74"/>
      <c r="E19" s="79" t="s">
        <v>67</v>
      </c>
      <c r="F19" s="80"/>
      <c r="H19" s="39"/>
    </row>
    <row r="20" spans="1:10" x14ac:dyDescent="0.35">
      <c r="F20"/>
    </row>
    <row r="21" spans="1:10" ht="15.5" x14ac:dyDescent="0.35">
      <c r="A21" s="36" t="s">
        <v>165</v>
      </c>
      <c r="F21"/>
    </row>
    <row r="22" spans="1:10" ht="23.5" customHeight="1" x14ac:dyDescent="0.35">
      <c r="A22" s="40" t="s">
        <v>1</v>
      </c>
      <c r="B22" s="40" t="s">
        <v>136</v>
      </c>
      <c r="C22" s="40" t="s">
        <v>137</v>
      </c>
      <c r="D22" s="40" t="s">
        <v>138</v>
      </c>
      <c r="E22" s="40" t="s">
        <v>139</v>
      </c>
      <c r="F22" s="40" t="s">
        <v>140</v>
      </c>
      <c r="G22" s="40" t="s">
        <v>175</v>
      </c>
      <c r="I22" s="70" t="s">
        <v>182</v>
      </c>
      <c r="J22" s="71"/>
    </row>
    <row r="23" spans="1:10" x14ac:dyDescent="0.35">
      <c r="A23" s="35">
        <v>1</v>
      </c>
      <c r="B23" s="18" t="s">
        <v>141</v>
      </c>
      <c r="C23" s="7">
        <v>50000</v>
      </c>
      <c r="D23" s="7">
        <v>50000</v>
      </c>
      <c r="E23" s="18"/>
      <c r="F23" s="7"/>
      <c r="G23" s="18"/>
      <c r="I23" s="43" t="s">
        <v>46</v>
      </c>
      <c r="J23" s="43" t="s">
        <v>47</v>
      </c>
    </row>
    <row r="24" spans="1:10" x14ac:dyDescent="0.35">
      <c r="A24" s="35">
        <v>2</v>
      </c>
      <c r="B24" s="18" t="s">
        <v>142</v>
      </c>
      <c r="C24" s="7">
        <v>50000</v>
      </c>
      <c r="D24" s="7"/>
      <c r="E24" s="18"/>
      <c r="F24" s="7"/>
      <c r="G24" s="18"/>
      <c r="I24" s="2" t="s">
        <v>194</v>
      </c>
      <c r="J24" s="5"/>
    </row>
    <row r="25" spans="1:10" x14ac:dyDescent="0.35">
      <c r="A25" s="35">
        <v>3</v>
      </c>
      <c r="B25" s="18" t="s">
        <v>143</v>
      </c>
      <c r="C25" s="7">
        <v>50000</v>
      </c>
      <c r="D25" s="7">
        <v>50000</v>
      </c>
      <c r="E25" s="18"/>
      <c r="F25" s="7"/>
      <c r="G25" s="18"/>
      <c r="I25" s="2" t="s">
        <v>177</v>
      </c>
      <c r="J25" s="5"/>
    </row>
    <row r="26" spans="1:10" x14ac:dyDescent="0.35">
      <c r="A26" s="35">
        <v>4</v>
      </c>
      <c r="B26" s="18" t="s">
        <v>144</v>
      </c>
      <c r="C26" s="7">
        <v>50000</v>
      </c>
      <c r="D26" s="7"/>
      <c r="E26" s="18"/>
      <c r="F26" s="7"/>
      <c r="G26" s="18"/>
      <c r="I26" s="2" t="s">
        <v>178</v>
      </c>
      <c r="J26" s="5"/>
    </row>
    <row r="27" spans="1:10" x14ac:dyDescent="0.35">
      <c r="A27" s="35">
        <v>5</v>
      </c>
      <c r="B27" s="18" t="s">
        <v>145</v>
      </c>
      <c r="C27" s="7">
        <v>50000</v>
      </c>
      <c r="D27" s="7">
        <v>50000</v>
      </c>
      <c r="E27" s="18"/>
      <c r="F27" s="7"/>
      <c r="G27" s="18"/>
      <c r="I27" s="2" t="s">
        <v>179</v>
      </c>
      <c r="J27" s="2"/>
    </row>
    <row r="28" spans="1:10" x14ac:dyDescent="0.35">
      <c r="A28" s="35">
        <v>6</v>
      </c>
      <c r="B28" s="18" t="s">
        <v>146</v>
      </c>
      <c r="C28" s="7">
        <v>50000</v>
      </c>
      <c r="D28" s="7">
        <v>50000</v>
      </c>
      <c r="E28" s="18"/>
      <c r="F28" s="7"/>
      <c r="G28" s="18"/>
      <c r="I28" s="2" t="s">
        <v>180</v>
      </c>
      <c r="J28" s="2"/>
    </row>
    <row r="29" spans="1:10" x14ac:dyDescent="0.35">
      <c r="A29" s="35">
        <v>7</v>
      </c>
      <c r="B29" s="18" t="s">
        <v>147</v>
      </c>
      <c r="C29" s="7">
        <v>50000</v>
      </c>
      <c r="D29" s="7"/>
      <c r="E29" s="18"/>
      <c r="F29" s="7"/>
      <c r="G29" s="18"/>
      <c r="I29" s="2" t="s">
        <v>181</v>
      </c>
      <c r="J29" s="2"/>
    </row>
    <row r="30" spans="1:10" x14ac:dyDescent="0.35">
      <c r="A30" s="35">
        <v>8</v>
      </c>
      <c r="B30" s="18" t="s">
        <v>105</v>
      </c>
      <c r="C30" s="7">
        <v>50000</v>
      </c>
      <c r="D30" s="7">
        <v>50000</v>
      </c>
      <c r="E30" s="18"/>
      <c r="F30" s="7"/>
      <c r="G30" s="18"/>
    </row>
    <row r="31" spans="1:10" x14ac:dyDescent="0.35">
      <c r="A31" s="35">
        <v>9</v>
      </c>
      <c r="B31" s="18" t="s">
        <v>148</v>
      </c>
      <c r="C31" s="7">
        <v>50000</v>
      </c>
      <c r="D31" s="7"/>
      <c r="E31" s="18"/>
      <c r="F31" s="7"/>
      <c r="G31" s="18"/>
    </row>
    <row r="32" spans="1:10" x14ac:dyDescent="0.35">
      <c r="A32" s="35">
        <v>10</v>
      </c>
      <c r="B32" s="18" t="s">
        <v>109</v>
      </c>
      <c r="C32" s="7">
        <v>50000</v>
      </c>
      <c r="D32" s="7">
        <v>50000</v>
      </c>
      <c r="E32" s="18"/>
      <c r="F32" s="7"/>
      <c r="G32" s="18"/>
    </row>
    <row r="33" spans="1:7" x14ac:dyDescent="0.35">
      <c r="A33" s="35">
        <v>11</v>
      </c>
      <c r="B33" s="18" t="s">
        <v>24</v>
      </c>
      <c r="C33" s="7">
        <v>50000</v>
      </c>
      <c r="D33" s="7">
        <v>5000</v>
      </c>
      <c r="E33" s="18"/>
      <c r="F33" s="7"/>
      <c r="G33" s="18"/>
    </row>
    <row r="34" spans="1:7" x14ac:dyDescent="0.35">
      <c r="A34" s="35">
        <v>12</v>
      </c>
      <c r="B34" s="18" t="s">
        <v>149</v>
      </c>
      <c r="C34" s="7">
        <v>50000</v>
      </c>
      <c r="D34" s="7">
        <v>50000</v>
      </c>
      <c r="E34" s="18"/>
      <c r="F34" s="7"/>
      <c r="G34" s="18"/>
    </row>
    <row r="35" spans="1:7" x14ac:dyDescent="0.35">
      <c r="A35" s="35">
        <v>13</v>
      </c>
      <c r="B35" s="18" t="s">
        <v>150</v>
      </c>
      <c r="C35" s="7">
        <v>50000</v>
      </c>
      <c r="D35" s="7"/>
      <c r="E35" s="18"/>
      <c r="F35" s="7"/>
      <c r="G35" s="18"/>
    </row>
    <row r="36" spans="1:7" x14ac:dyDescent="0.35">
      <c r="A36" s="35">
        <v>14</v>
      </c>
      <c r="B36" s="18" t="s">
        <v>151</v>
      </c>
      <c r="C36" s="7">
        <v>50000</v>
      </c>
      <c r="D36" s="7">
        <v>50000</v>
      </c>
      <c r="E36" s="18"/>
      <c r="F36" s="7"/>
      <c r="G36" s="18"/>
    </row>
    <row r="37" spans="1:7" x14ac:dyDescent="0.35">
      <c r="A37" s="35">
        <v>15</v>
      </c>
      <c r="B37" s="18" t="s">
        <v>152</v>
      </c>
      <c r="C37" s="7">
        <v>50000</v>
      </c>
      <c r="D37" s="7"/>
      <c r="E37" s="18"/>
      <c r="F37" s="7"/>
      <c r="G37" s="18"/>
    </row>
    <row r="38" spans="1:7" x14ac:dyDescent="0.35">
      <c r="A38" s="35">
        <v>16</v>
      </c>
      <c r="B38" s="18" t="s">
        <v>29</v>
      </c>
      <c r="C38" s="7">
        <v>50000</v>
      </c>
      <c r="D38" s="7">
        <v>50000</v>
      </c>
      <c r="E38" s="18"/>
      <c r="F38" s="7"/>
      <c r="G38" s="18"/>
    </row>
    <row r="39" spans="1:7" x14ac:dyDescent="0.35">
      <c r="A39" s="35">
        <v>17</v>
      </c>
      <c r="B39" s="18" t="s">
        <v>81</v>
      </c>
      <c r="C39" s="7">
        <v>50000</v>
      </c>
      <c r="D39" s="7"/>
      <c r="E39" s="18"/>
      <c r="F39" s="7"/>
      <c r="G39" s="18"/>
    </row>
    <row r="40" spans="1:7" x14ac:dyDescent="0.35">
      <c r="A40" s="35">
        <v>18</v>
      </c>
      <c r="B40" s="18" t="s">
        <v>30</v>
      </c>
      <c r="C40" s="7">
        <v>50000</v>
      </c>
      <c r="D40" s="7">
        <v>50000</v>
      </c>
      <c r="E40" s="18"/>
      <c r="F40" s="7"/>
      <c r="G40" s="18"/>
    </row>
    <row r="41" spans="1:7" x14ac:dyDescent="0.35">
      <c r="A41" s="35">
        <v>19</v>
      </c>
      <c r="B41" s="18" t="s">
        <v>124</v>
      </c>
      <c r="C41" s="7">
        <v>50000</v>
      </c>
      <c r="D41" s="7"/>
      <c r="E41" s="18"/>
      <c r="F41" s="7"/>
      <c r="G41" s="18"/>
    </row>
    <row r="42" spans="1:7" x14ac:dyDescent="0.35">
      <c r="A42" s="35">
        <v>20</v>
      </c>
      <c r="B42" s="18" t="s">
        <v>126</v>
      </c>
      <c r="C42" s="7">
        <v>50000</v>
      </c>
      <c r="D42" s="7">
        <v>50000</v>
      </c>
      <c r="E42" s="18"/>
      <c r="F42" s="7"/>
      <c r="G42" s="18"/>
    </row>
    <row r="43" spans="1:7" x14ac:dyDescent="0.35">
      <c r="A43" s="35">
        <v>21</v>
      </c>
      <c r="B43" s="18" t="s">
        <v>87</v>
      </c>
      <c r="C43" s="7">
        <v>50000</v>
      </c>
      <c r="D43" s="7"/>
      <c r="E43" s="18"/>
      <c r="F43" s="7"/>
      <c r="G43" s="18"/>
    </row>
    <row r="44" spans="1:7" x14ac:dyDescent="0.35">
      <c r="A44" s="35">
        <v>22</v>
      </c>
      <c r="B44" s="18" t="s">
        <v>34</v>
      </c>
      <c r="C44" s="7">
        <v>50000</v>
      </c>
      <c r="D44" s="7">
        <v>50000</v>
      </c>
      <c r="E44" s="18"/>
      <c r="F44" s="7"/>
      <c r="G44" s="18"/>
    </row>
    <row r="45" spans="1:7" x14ac:dyDescent="0.35">
      <c r="A45" s="35">
        <v>23</v>
      </c>
      <c r="B45" s="18" t="s">
        <v>90</v>
      </c>
      <c r="C45" s="7">
        <v>50000</v>
      </c>
      <c r="D45" s="7"/>
      <c r="E45" s="18"/>
      <c r="F45" s="7"/>
      <c r="G45" s="18"/>
    </row>
    <row r="46" spans="1:7" x14ac:dyDescent="0.35">
      <c r="A46" s="35">
        <v>24</v>
      </c>
      <c r="B46" s="18" t="s">
        <v>153</v>
      </c>
      <c r="C46" s="7">
        <v>50000</v>
      </c>
      <c r="D46" s="7">
        <v>50000</v>
      </c>
      <c r="E46" s="18"/>
      <c r="F46" s="7"/>
      <c r="G46" s="18"/>
    </row>
    <row r="47" spans="1:7" x14ac:dyDescent="0.35">
      <c r="A47" s="35">
        <v>25</v>
      </c>
      <c r="B47" s="18" t="s">
        <v>154</v>
      </c>
      <c r="C47" s="7">
        <v>50000</v>
      </c>
      <c r="D47" s="7"/>
      <c r="E47" s="18"/>
      <c r="F47" s="7"/>
      <c r="G47" s="18"/>
    </row>
    <row r="48" spans="1:7" x14ac:dyDescent="0.35">
      <c r="A48" s="35">
        <v>26</v>
      </c>
      <c r="B48" s="18" t="s">
        <v>155</v>
      </c>
      <c r="C48" s="7">
        <v>50000</v>
      </c>
      <c r="D48" s="7">
        <v>50000</v>
      </c>
      <c r="E48" s="18"/>
      <c r="F48" s="7"/>
      <c r="G48" s="18"/>
    </row>
    <row r="49" spans="1:7" x14ac:dyDescent="0.35">
      <c r="A49" s="35">
        <v>27</v>
      </c>
      <c r="B49" s="18" t="s">
        <v>38</v>
      </c>
      <c r="C49" s="7">
        <v>50000</v>
      </c>
      <c r="D49" s="7"/>
      <c r="E49" s="18"/>
      <c r="F49" s="7"/>
      <c r="G49" s="18"/>
    </row>
    <row r="50" spans="1:7" x14ac:dyDescent="0.35">
      <c r="A50" s="35">
        <v>28</v>
      </c>
      <c r="B50" s="18" t="s">
        <v>39</v>
      </c>
      <c r="C50" s="7">
        <v>50000</v>
      </c>
      <c r="D50" s="7">
        <v>50000</v>
      </c>
      <c r="E50" s="18"/>
      <c r="F50" s="7"/>
      <c r="G50" s="18"/>
    </row>
    <row r="51" spans="1:7" x14ac:dyDescent="0.35">
      <c r="A51" s="35">
        <v>29</v>
      </c>
      <c r="B51" s="18" t="s">
        <v>98</v>
      </c>
      <c r="C51" s="7">
        <v>50000</v>
      </c>
      <c r="D51" s="7"/>
      <c r="E51" s="18"/>
      <c r="F51" s="7"/>
      <c r="G51" s="18"/>
    </row>
    <row r="52" spans="1:7" x14ac:dyDescent="0.35">
      <c r="A52" s="35">
        <v>30</v>
      </c>
      <c r="B52" s="18" t="s">
        <v>41</v>
      </c>
      <c r="C52" s="7">
        <v>50000</v>
      </c>
      <c r="D52" s="7"/>
      <c r="E52" s="18"/>
      <c r="F52" s="7"/>
      <c r="G52" s="18"/>
    </row>
    <row r="53" spans="1:7" x14ac:dyDescent="0.35">
      <c r="A53" s="35">
        <v>31</v>
      </c>
      <c r="B53" s="18" t="s">
        <v>42</v>
      </c>
      <c r="C53" s="7">
        <v>50000</v>
      </c>
      <c r="D53" s="7">
        <v>50000</v>
      </c>
      <c r="E53" s="18"/>
      <c r="F53" s="7"/>
      <c r="G53" s="18"/>
    </row>
    <row r="54" spans="1:7" x14ac:dyDescent="0.35">
      <c r="A54" s="35">
        <v>32</v>
      </c>
      <c r="B54" s="18" t="s">
        <v>156</v>
      </c>
      <c r="C54" s="7">
        <v>50000</v>
      </c>
      <c r="D54" s="7">
        <v>50000</v>
      </c>
      <c r="E54" s="18"/>
      <c r="F54" s="7"/>
      <c r="G54" s="18"/>
    </row>
    <row r="55" spans="1:7" x14ac:dyDescent="0.35">
      <c r="A55" s="35">
        <v>33</v>
      </c>
      <c r="B55" s="18" t="s">
        <v>103</v>
      </c>
      <c r="C55" s="7">
        <v>50000</v>
      </c>
      <c r="D55" s="7"/>
      <c r="E55" s="18"/>
      <c r="F55" s="7"/>
      <c r="G55" s="18"/>
    </row>
    <row r="56" spans="1:7" x14ac:dyDescent="0.35">
      <c r="A56" s="35">
        <v>34</v>
      </c>
      <c r="B56" s="18" t="s">
        <v>157</v>
      </c>
      <c r="C56" s="7">
        <v>50000</v>
      </c>
      <c r="D56" s="7">
        <v>50000</v>
      </c>
      <c r="E56" s="18"/>
      <c r="F56" s="7"/>
      <c r="G56" s="18"/>
    </row>
    <row r="57" spans="1:7" x14ac:dyDescent="0.35">
      <c r="A57" s="35">
        <v>35</v>
      </c>
      <c r="B57" s="18" t="s">
        <v>107</v>
      </c>
      <c r="C57" s="7">
        <v>50000</v>
      </c>
      <c r="D57" s="7"/>
      <c r="E57" s="18"/>
      <c r="F57" s="7"/>
      <c r="G57" s="18"/>
    </row>
    <row r="58" spans="1:7" x14ac:dyDescent="0.35">
      <c r="A58" s="35">
        <v>36</v>
      </c>
      <c r="B58" s="18" t="s">
        <v>158</v>
      </c>
      <c r="C58" s="7">
        <v>50000</v>
      </c>
      <c r="D58" s="7"/>
      <c r="E58" s="18"/>
      <c r="F58" s="7"/>
      <c r="G58" s="18"/>
    </row>
    <row r="59" spans="1:7" x14ac:dyDescent="0.35">
      <c r="A59" s="35">
        <v>37</v>
      </c>
      <c r="B59" s="18" t="s">
        <v>159</v>
      </c>
      <c r="C59" s="7">
        <v>50000</v>
      </c>
      <c r="D59" s="7"/>
      <c r="E59" s="18"/>
      <c r="F59" s="7"/>
      <c r="G59" s="18"/>
    </row>
    <row r="60" spans="1:7" x14ac:dyDescent="0.35">
      <c r="A60" s="35">
        <v>38</v>
      </c>
      <c r="B60" s="18" t="s">
        <v>74</v>
      </c>
      <c r="C60" s="7">
        <v>50000</v>
      </c>
      <c r="D60" s="7">
        <v>50000</v>
      </c>
      <c r="E60" s="18"/>
      <c r="F60" s="7"/>
      <c r="G60" s="18"/>
    </row>
    <row r="61" spans="1:7" x14ac:dyDescent="0.35">
      <c r="A61" s="35">
        <v>39</v>
      </c>
      <c r="B61" s="18" t="s">
        <v>76</v>
      </c>
      <c r="C61" s="7">
        <v>50000</v>
      </c>
      <c r="D61" s="7"/>
      <c r="E61" s="18"/>
      <c r="F61" s="7"/>
      <c r="G61" s="18"/>
    </row>
    <row r="62" spans="1:7" x14ac:dyDescent="0.35">
      <c r="A62" s="35">
        <v>40</v>
      </c>
      <c r="B62" s="18" t="s">
        <v>160</v>
      </c>
      <c r="C62" s="7">
        <v>50000</v>
      </c>
      <c r="D62" s="7">
        <v>50000</v>
      </c>
      <c r="E62" s="18"/>
      <c r="F62" s="7"/>
      <c r="G62" s="18"/>
    </row>
    <row r="63" spans="1:7" x14ac:dyDescent="0.35">
      <c r="A63" s="35">
        <v>41</v>
      </c>
      <c r="B63" s="18" t="s">
        <v>161</v>
      </c>
      <c r="C63" s="7">
        <v>50000</v>
      </c>
      <c r="D63" s="7"/>
      <c r="E63" s="18"/>
      <c r="F63" s="7"/>
      <c r="G63" s="18"/>
    </row>
    <row r="64" spans="1:7" x14ac:dyDescent="0.35">
      <c r="A64" s="35">
        <v>42</v>
      </c>
      <c r="B64" s="18" t="s">
        <v>118</v>
      </c>
      <c r="C64" s="7">
        <v>50000</v>
      </c>
      <c r="D64" s="7">
        <v>50000</v>
      </c>
      <c r="E64" s="18"/>
      <c r="F64" s="7"/>
      <c r="G64" s="18"/>
    </row>
    <row r="65" spans="1:7" x14ac:dyDescent="0.35">
      <c r="A65" s="35">
        <v>43</v>
      </c>
      <c r="B65" s="18" t="s">
        <v>120</v>
      </c>
      <c r="C65" s="7">
        <v>50000</v>
      </c>
      <c r="D65" s="7"/>
      <c r="E65" s="18"/>
      <c r="F65" s="7"/>
      <c r="G65" s="18"/>
    </row>
    <row r="66" spans="1:7" x14ac:dyDescent="0.35">
      <c r="A66" s="35">
        <v>44</v>
      </c>
      <c r="B66" s="18" t="s">
        <v>122</v>
      </c>
      <c r="C66" s="7">
        <v>50000</v>
      </c>
      <c r="D66" s="7">
        <v>50000</v>
      </c>
      <c r="E66" s="18"/>
      <c r="F66" s="7"/>
      <c r="G66" s="18"/>
    </row>
    <row r="67" spans="1:7" x14ac:dyDescent="0.35">
      <c r="A67" s="35">
        <v>45</v>
      </c>
      <c r="B67" s="18" t="s">
        <v>31</v>
      </c>
      <c r="C67" s="7">
        <v>50000</v>
      </c>
      <c r="D67" s="7"/>
      <c r="E67" s="18"/>
      <c r="F67" s="7"/>
      <c r="G67" s="18"/>
    </row>
    <row r="68" spans="1:7" x14ac:dyDescent="0.35">
      <c r="A68" s="35">
        <v>46</v>
      </c>
      <c r="B68" s="18" t="s">
        <v>162</v>
      </c>
      <c r="C68" s="7">
        <v>50000</v>
      </c>
      <c r="D68" s="7">
        <v>50000</v>
      </c>
      <c r="E68" s="18"/>
      <c r="F68" s="7"/>
      <c r="G68" s="18"/>
    </row>
    <row r="69" spans="1:7" x14ac:dyDescent="0.35">
      <c r="A69" s="35">
        <v>47</v>
      </c>
      <c r="B69" s="18" t="s">
        <v>33</v>
      </c>
      <c r="C69" s="7">
        <v>50000</v>
      </c>
      <c r="D69" s="7">
        <v>50000</v>
      </c>
      <c r="E69" s="18"/>
      <c r="F69" s="7"/>
      <c r="G69" s="18"/>
    </row>
    <row r="70" spans="1:7" x14ac:dyDescent="0.35">
      <c r="A70" s="35">
        <v>48</v>
      </c>
      <c r="B70" s="18" t="s">
        <v>129</v>
      </c>
      <c r="C70" s="7">
        <v>50000</v>
      </c>
      <c r="D70" s="7">
        <v>50000</v>
      </c>
      <c r="E70" s="18"/>
      <c r="F70" s="7"/>
      <c r="G70" s="18"/>
    </row>
    <row r="71" spans="1:7" x14ac:dyDescent="0.35">
      <c r="A71" s="35">
        <v>49</v>
      </c>
      <c r="B71" s="18" t="s">
        <v>163</v>
      </c>
      <c r="C71" s="7">
        <v>50000</v>
      </c>
      <c r="D71" s="7"/>
      <c r="E71" s="18"/>
      <c r="F71" s="7"/>
      <c r="G71" s="18"/>
    </row>
    <row r="72" spans="1:7" x14ac:dyDescent="0.35">
      <c r="A72" s="35">
        <v>50</v>
      </c>
      <c r="B72" s="18" t="s">
        <v>164</v>
      </c>
      <c r="C72" s="7">
        <v>50000</v>
      </c>
      <c r="D72" s="7">
        <v>50000</v>
      </c>
      <c r="E72" s="18"/>
      <c r="F72" s="7"/>
      <c r="G72" s="18"/>
    </row>
  </sheetData>
  <mergeCells count="9">
    <mergeCell ref="I22:J22"/>
    <mergeCell ref="J2:J5"/>
    <mergeCell ref="A18:D18"/>
    <mergeCell ref="A19:D19"/>
    <mergeCell ref="A7:I7"/>
    <mergeCell ref="E17:F17"/>
    <mergeCell ref="E18:F18"/>
    <mergeCell ref="E19:F19"/>
    <mergeCell ref="A17:D17"/>
  </mergeCells>
  <conditionalFormatting sqref="J2:J5">
    <cfRule type="cellIs" dxfId="8" priority="1" operator="between">
      <formula>70</formula>
      <formula>101</formula>
    </cfRule>
    <cfRule type="cellIs" dxfId="7" priority="2" operator="between">
      <formula>50</formula>
      <formula>70</formula>
    </cfRule>
    <cfRule type="cellIs" dxfId="6" priority="3" operator="between">
      <formula>1</formula>
      <formula>50</formula>
    </cfRule>
    <cfRule type="cellIs" dxfId="5" priority="4" operator="lessThan">
      <formula>101</formula>
    </cfRule>
    <cfRule type="cellIs" dxfId="4" priority="5" operator="lessThan">
      <formula>100</formula>
    </cfRule>
    <cfRule type="cellIs" dxfId="3" priority="6" operator="lessThan">
      <formula>70</formula>
    </cfRule>
    <cfRule type="cellIs" dxfId="2" priority="7" operator="lessThan">
      <formula>50</formula>
    </cfRule>
    <cfRule type="cellIs" dxfId="1" priority="8" operator="equal">
      <formula>40</formula>
    </cfRule>
    <cfRule type="cellIs" dxfId="0" priority="9" operator="equal">
      <formula>20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1.Data Permintaan ATK</vt:lpstr>
      <vt:lpstr>2.Data Pengajuan Pengadaan</vt:lpstr>
      <vt:lpstr>3.Data Iuran Kelas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cp:lastPrinted>2026-01-30T08:12:52Z</cp:lastPrinted>
  <dcterms:created xsi:type="dcterms:W3CDTF">2026-01-27T04:42:08Z</dcterms:created>
  <dcterms:modified xsi:type="dcterms:W3CDTF">2026-03-02T08:06:18Z</dcterms:modified>
</cp:coreProperties>
</file>